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xWO/9rOEd5a1fHmD5p2Rwn2GJq2S3xrXYyMYGc3Ge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ID#AAABySUcWB0
    (2026-01-07 06:51:03)
DAILY LEDGER
	-Lucky Filling station</t>
      </text>
    </comment>
  </commentList>
  <extLst>
    <ext uri="GoogleSheetsCustomDataVersion2">
      <go:sheetsCustomData xmlns:go="http://customooxmlschemas.google.com/" r:id="rId1" roundtripDataSignature="AMtx7mjTC+kaZxv2zJHeCAlNHpMQvK5BFg=="/>
    </ext>
  </extLst>
</comments>
</file>

<file path=xl/sharedStrings.xml><?xml version="1.0" encoding="utf-8"?>
<sst xmlns="http://schemas.openxmlformats.org/spreadsheetml/2006/main" count="252" uniqueCount="59">
  <si>
    <t xml:space="preserve">PSO  LUCKY FILLING STATION </t>
  </si>
  <si>
    <t>(DAILY LEDGER)    JULY 2026</t>
  </si>
  <si>
    <t>DIESEL (HSD)</t>
  </si>
  <si>
    <t>Rate Difference  [Sale - Purchase]   (382.83)</t>
  </si>
  <si>
    <t>DATE</t>
  </si>
  <si>
    <t>Total Sales (L)</t>
  </si>
  <si>
    <t>Testing Loss</t>
  </si>
  <si>
    <t xml:space="preserve">Stock In/Purchase </t>
  </si>
  <si>
    <t>Tank Dip</t>
  </si>
  <si>
    <t>Closing Meter</t>
  </si>
  <si>
    <t>Stock Diff.</t>
  </si>
  <si>
    <t>Rate Difference</t>
  </si>
  <si>
    <t>Purchase Rate</t>
  </si>
  <si>
    <t>Total Sales Rs</t>
  </si>
  <si>
    <t>Rate Diff (+/-)</t>
  </si>
  <si>
    <t>-</t>
  </si>
  <si>
    <t>بغیر نیوزل</t>
  </si>
  <si>
    <t>Total</t>
  </si>
  <si>
    <t>PETROL (PMG)</t>
  </si>
  <si>
    <t xml:space="preserve"> Rate Difference  [Sale - Purchase]   (383.83)</t>
  </si>
  <si>
    <t>LubeOil Sale</t>
  </si>
  <si>
    <t>HSD &amp; PMG Monthly Sale</t>
  </si>
  <si>
    <t>HSD Sales/Ltr=</t>
  </si>
  <si>
    <t>HSD  Sales/Rs=</t>
  </si>
  <si>
    <t>PMG Sales/Ltr=</t>
  </si>
  <si>
    <t>PMG Sales/Rs=</t>
  </si>
  <si>
    <t>Total /Ltr=</t>
  </si>
  <si>
    <t>Total /Rs=</t>
  </si>
  <si>
    <t>آئٹم (Item)</t>
  </si>
  <si>
    <t>یونٹ (Unit)</t>
  </si>
  <si>
    <t xml:space="preserve">یکم کی ریڈنگ </t>
  </si>
  <si>
    <t>آخری تاریخ کی ریڈنگ</t>
  </si>
  <si>
    <t xml:space="preserve"> 30 دن کی سیل</t>
  </si>
  <si>
    <t>ڈیزل</t>
  </si>
  <si>
    <t>یونٹ 1</t>
  </si>
  <si>
    <t>یونٹ 2</t>
  </si>
  <si>
    <t>یونٹ 3</t>
  </si>
  <si>
    <t>یونٹ 4</t>
  </si>
  <si>
    <t>پٹرول</t>
  </si>
  <si>
    <t>یونٹ 5</t>
  </si>
  <si>
    <t>یونٹ 6</t>
  </si>
  <si>
    <t>HSD Total sale</t>
  </si>
  <si>
    <t>PMG Total sale</t>
  </si>
  <si>
    <t>کل سیل (Total)</t>
  </si>
  <si>
    <t>Card Sales</t>
  </si>
  <si>
    <t>Owner's</t>
  </si>
  <si>
    <t xml:space="preserve">Loan Repayment </t>
  </si>
  <si>
    <t>Investment</t>
  </si>
  <si>
    <t>In Code</t>
  </si>
  <si>
    <t>LoanDealer's</t>
  </si>
  <si>
    <t>CREDIT  ادھار</t>
  </si>
  <si>
    <t xml:space="preserve">ادھار واپسی </t>
  </si>
  <si>
    <t xml:space="preserve">تنخواہ اور کریڈٹ </t>
  </si>
  <si>
    <t>Discount</t>
  </si>
  <si>
    <t>Daily Expenses</t>
  </si>
  <si>
    <t>Home EXP</t>
  </si>
  <si>
    <t xml:space="preserve">PSO/Othor </t>
  </si>
  <si>
    <t xml:space="preserve"> Share/Draw</t>
  </si>
  <si>
    <t>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</si>
</sst>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36.0"/>
      <color rgb="FFFFFF00"/>
      <name val="Oswald"/>
    </font>
    <font/>
    <font>
      <sz val="24.0"/>
      <color theme="1"/>
      <name val="Oswald"/>
    </font>
    <font>
      <b/>
      <color rgb="FFEFEFEF"/>
      <name val="Arial"/>
    </font>
    <font>
      <b/>
      <sz val="12.0"/>
      <color rgb="FFEFEFEF"/>
      <name val="Arial"/>
    </font>
    <font>
      <b/>
      <sz val="11.0"/>
      <color rgb="FFEFEFEF"/>
      <name val="Arial"/>
    </font>
    <font>
      <b/>
      <sz val="14.0"/>
      <color rgb="FFEFEFEF"/>
      <name val="Arial"/>
    </font>
    <font>
      <sz val="14.0"/>
      <color theme="1"/>
      <name val="Arial"/>
    </font>
    <font>
      <sz val="14.0"/>
      <color rgb="FFFFFF00"/>
      <name val="Arial"/>
      <scheme val="minor"/>
    </font>
    <font>
      <color rgb="FFFFFFFF"/>
      <name val="Arial"/>
    </font>
    <font>
      <sz val="18.0"/>
      <color rgb="FFFFFF00"/>
      <name val="Arial"/>
    </font>
    <font>
      <sz val="14.0"/>
      <color rgb="FFFFFF00"/>
      <name val="Arial"/>
    </font>
    <font>
      <color theme="1"/>
      <name val="Arial"/>
      <scheme val="minor"/>
    </font>
    <font>
      <sz val="18.0"/>
      <color theme="1"/>
      <name val="Arial"/>
    </font>
    <font>
      <sz val="24.0"/>
      <color rgb="FFFFFF00"/>
      <name val="Arial"/>
    </font>
    <font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b/>
      <color theme="1"/>
      <name val="Arial"/>
    </font>
    <font>
      <sz val="18.0"/>
      <color theme="1"/>
      <name val="Oswald"/>
    </font>
    <font>
      <sz val="14.0"/>
      <color theme="1"/>
      <name val="Oswald"/>
    </font>
    <font>
      <b/>
      <sz val="14.0"/>
      <color rgb="FFFFFFFF"/>
      <name val="Arial"/>
    </font>
    <font>
      <b/>
      <sz val="18.0"/>
      <color rgb="FFFFFFFF"/>
      <name val="Arial"/>
    </font>
    <font>
      <sz val="18.0"/>
      <color rgb="FF0C343D"/>
      <name val="Arial"/>
    </font>
    <font>
      <sz val="18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F3F3F3"/>
        <bgColor rgb="FFF3F3F3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</fills>
  <borders count="4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3" fontId="3" numFmtId="0" xfId="0" applyAlignment="1" applyBorder="1" applyFill="1" applyFont="1">
      <alignment horizontal="center" shrinkToFit="0" vertical="center" wrapText="0"/>
    </xf>
    <xf borderId="4" fillId="0" fontId="2" numFmtId="0" xfId="0" applyBorder="1" applyFont="1"/>
    <xf borderId="4" fillId="3" fontId="3" numFmtId="0" xfId="0" applyAlignment="1" applyBorder="1" applyFont="1">
      <alignment horizontal="center" shrinkToFit="0" vertical="center" wrapText="0"/>
    </xf>
    <xf borderId="3" fillId="4" fontId="3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0" fillId="0" fontId="1" numFmtId="0" xfId="0" applyAlignment="1" applyFont="1">
      <alignment horizontal="center" shrinkToFit="0" vertical="center" wrapText="0"/>
    </xf>
    <xf borderId="6" fillId="4" fontId="3" numFmtId="0" xfId="0" applyAlignment="1" applyBorder="1" applyFont="1">
      <alignment horizontal="center" shrinkToFit="0" vertical="center" wrapText="0"/>
    </xf>
    <xf borderId="7" fillId="0" fontId="2" numFmtId="0" xfId="0" applyBorder="1" applyFont="1"/>
    <xf borderId="8" fillId="5" fontId="4" numFmtId="0" xfId="0" applyAlignment="1" applyBorder="1" applyFill="1" applyFont="1">
      <alignment horizontal="center" vertical="center"/>
    </xf>
    <xf borderId="9" fillId="5" fontId="5" numFmtId="0" xfId="0" applyAlignment="1" applyBorder="1" applyFont="1">
      <alignment horizontal="center" vertical="center"/>
    </xf>
    <xf borderId="9" fillId="5" fontId="6" numFmtId="0" xfId="0" applyAlignment="1" applyBorder="1" applyFont="1">
      <alignment horizontal="center" vertical="center"/>
    </xf>
    <xf borderId="9" fillId="5" fontId="7" numFmtId="0" xfId="0" applyAlignment="1" applyBorder="1" applyFont="1">
      <alignment horizontal="center" vertical="center"/>
    </xf>
    <xf borderId="9" fillId="5" fontId="7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horizontal="center" vertical="center"/>
    </xf>
    <xf borderId="0" fillId="3" fontId="8" numFmtId="0" xfId="0" applyAlignment="1" applyFont="1">
      <alignment horizontal="center" vertical="center"/>
    </xf>
    <xf borderId="0" fillId="3" fontId="8" numFmtId="0" xfId="0" applyAlignment="1" applyFont="1">
      <alignment horizontal="center" readingOrder="0" vertical="center"/>
    </xf>
    <xf borderId="10" fillId="0" fontId="9" numFmtId="0" xfId="0" applyAlignment="1" applyBorder="1" applyFont="1">
      <alignment horizontal="center" vertical="center"/>
    </xf>
    <xf borderId="0" fillId="0" fontId="3" numFmtId="0" xfId="0" applyAlignment="1" applyFont="1">
      <alignment horizontal="center" shrinkToFit="0" vertical="center" wrapText="0"/>
    </xf>
    <xf borderId="6" fillId="6" fontId="8" numFmtId="0" xfId="0" applyAlignment="1" applyBorder="1" applyFill="1" applyFont="1">
      <alignment horizontal="center" vertical="center"/>
    </xf>
    <xf borderId="0" fillId="6" fontId="8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6" fontId="8" numFmtId="0" xfId="0" applyAlignment="1" applyFont="1">
      <alignment horizontal="center" readingOrder="0" vertical="center"/>
    </xf>
    <xf borderId="11" fillId="0" fontId="11" numFmtId="0" xfId="0" applyAlignment="1" applyBorder="1" applyFont="1">
      <alignment horizontal="center" readingOrder="0" vertical="center"/>
    </xf>
    <xf borderId="12" fillId="3" fontId="12" numFmtId="0" xfId="0" applyAlignment="1" applyBorder="1" applyFont="1">
      <alignment horizontal="center" vertical="center"/>
    </xf>
    <xf borderId="12" fillId="3" fontId="8" numFmtId="0" xfId="0" applyAlignment="1" applyBorder="1" applyFont="1">
      <alignment horizontal="center" vertical="center"/>
    </xf>
    <xf borderId="12" fillId="6" fontId="8" numFmtId="0" xfId="0" applyAlignment="1" applyBorder="1" applyFont="1">
      <alignment horizontal="center" vertical="center"/>
    </xf>
    <xf borderId="10" fillId="0" fontId="13" numFmtId="0" xfId="0" applyAlignment="1" applyBorder="1" applyFont="1">
      <alignment horizontal="center" vertical="center"/>
    </xf>
    <xf borderId="13" fillId="6" fontId="14" numFmtId="0" xfId="0" applyAlignment="1" applyBorder="1" applyFont="1">
      <alignment horizontal="center" vertical="center"/>
    </xf>
    <xf borderId="14" fillId="6" fontId="14" numFmtId="0" xfId="0" applyAlignment="1" applyBorder="1" applyFont="1">
      <alignment horizontal="center" vertical="center"/>
    </xf>
    <xf borderId="6" fillId="6" fontId="14" numFmtId="0" xfId="0" applyAlignment="1" applyBorder="1" applyFont="1">
      <alignment horizontal="center" vertical="center"/>
    </xf>
    <xf borderId="0" fillId="6" fontId="14" numFmtId="0" xfId="0" applyAlignment="1" applyFont="1">
      <alignment horizontal="center" vertical="center"/>
    </xf>
    <xf borderId="15" fillId="6" fontId="8" numFmtId="0" xfId="0" applyAlignment="1" applyBorder="1" applyFont="1">
      <alignment horizontal="center" vertical="center"/>
    </xf>
    <xf borderId="15" fillId="0" fontId="2" numFmtId="0" xfId="0" applyBorder="1" applyFont="1"/>
    <xf borderId="11" fillId="3" fontId="11" numFmtId="0" xfId="0" applyAlignment="1" applyBorder="1" applyFont="1">
      <alignment horizontal="center" vertical="center"/>
    </xf>
    <xf borderId="16" fillId="0" fontId="2" numFmtId="0" xfId="0" applyBorder="1" applyFont="1"/>
    <xf borderId="11" fillId="3" fontId="15" numFmtId="0" xfId="0" applyAlignment="1" applyBorder="1" applyFont="1">
      <alignment horizontal="right" vertical="center"/>
    </xf>
    <xf borderId="12" fillId="0" fontId="2" numFmtId="0" xfId="0" applyBorder="1" applyFont="1"/>
    <xf borderId="17" fillId="0" fontId="2" numFmtId="0" xfId="0" applyBorder="1" applyFont="1"/>
    <xf borderId="18" fillId="3" fontId="15" numFmtId="0" xfId="0" applyAlignment="1" applyBorder="1" applyFont="1">
      <alignment horizontal="right" vertical="center"/>
    </xf>
    <xf borderId="11" fillId="6" fontId="11" numFmtId="3" xfId="0" applyAlignment="1" applyBorder="1" applyFont="1" applyNumberFormat="1">
      <alignment horizontal="center" vertical="center"/>
    </xf>
    <xf borderId="0" fillId="0" fontId="14" numFmtId="0" xfId="0" applyAlignment="1" applyFont="1">
      <alignment horizontal="center" vertical="center"/>
    </xf>
    <xf borderId="1" fillId="7" fontId="3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19" fillId="0" fontId="2" numFmtId="0" xfId="0" applyBorder="1" applyFont="1"/>
    <xf borderId="1" fillId="4" fontId="3" numFmtId="0" xfId="0" applyAlignment="1" applyBorder="1" applyFont="1">
      <alignment horizontal="center" shrinkToFit="0" vertical="center" wrapText="0"/>
    </xf>
    <xf borderId="19" fillId="0" fontId="2" numFmtId="0" xfId="0" applyBorder="1" applyFont="1"/>
    <xf borderId="0" fillId="5" fontId="4" numFmtId="0" xfId="0" applyAlignment="1" applyFont="1">
      <alignment horizontal="center" vertical="center"/>
    </xf>
    <xf borderId="0" fillId="5" fontId="5" numFmtId="0" xfId="0" applyAlignment="1" applyFont="1">
      <alignment horizontal="center" vertical="center"/>
    </xf>
    <xf borderId="0" fillId="5" fontId="6" numFmtId="0" xfId="0" applyAlignment="1" applyFont="1">
      <alignment horizontal="center" vertical="center"/>
    </xf>
    <xf borderId="0" fillId="5" fontId="7" numFmtId="0" xfId="0" applyAlignment="1" applyFont="1">
      <alignment horizontal="center" vertical="center"/>
    </xf>
    <xf borderId="0" fillId="5" fontId="7" numFmtId="0" xfId="0" applyAlignment="1" applyFont="1">
      <alignment horizontal="center" readingOrder="0" vertical="center"/>
    </xf>
    <xf borderId="7" fillId="5" fontId="7" numFmtId="0" xfId="0" applyAlignment="1" applyBorder="1" applyFont="1">
      <alignment horizontal="center" vertical="center"/>
    </xf>
    <xf borderId="6" fillId="3" fontId="8" numFmtId="0" xfId="0" applyAlignment="1" applyBorder="1" applyFont="1">
      <alignment horizontal="center" vertical="center"/>
    </xf>
    <xf borderId="20" fillId="0" fontId="9" numFmtId="0" xfId="0" applyAlignment="1" applyBorder="1" applyFont="1">
      <alignment horizontal="center" vertical="center"/>
    </xf>
    <xf borderId="14" fillId="3" fontId="8" numFmtId="0" xfId="0" applyAlignment="1" applyBorder="1" applyFont="1">
      <alignment horizontal="center" vertical="center"/>
    </xf>
    <xf borderId="6" fillId="6" fontId="8" numFmtId="0" xfId="0" applyAlignment="1" applyBorder="1" applyFont="1">
      <alignment horizontal="center" vertical="center"/>
    </xf>
    <xf borderId="0" fillId="6" fontId="8" numFmtId="0" xfId="0" applyAlignment="1" applyFont="1">
      <alignment horizontal="center" shrinkToFit="0" vertical="center" wrapText="0"/>
    </xf>
    <xf borderId="0" fillId="0" fontId="16" numFmtId="0" xfId="0" applyAlignment="1" applyFont="1">
      <alignment horizontal="left" vertical="center"/>
    </xf>
    <xf borderId="0" fillId="3" fontId="17" numFmtId="0" xfId="0" applyAlignment="1" applyFont="1">
      <alignment horizontal="center" shrinkToFit="0" vertical="center" wrapText="0"/>
    </xf>
    <xf borderId="6" fillId="3" fontId="17" numFmtId="0" xfId="0" applyAlignment="1" applyBorder="1" applyFont="1">
      <alignment horizontal="center" shrinkToFit="0" vertical="center" wrapText="0"/>
    </xf>
    <xf borderId="0" fillId="0" fontId="17" numFmtId="0" xfId="0" applyAlignment="1" applyFont="1">
      <alignment horizontal="center" shrinkToFit="0" vertical="center" wrapText="0"/>
    </xf>
    <xf borderId="7" fillId="3" fontId="17" numFmtId="0" xfId="0" applyAlignment="1" applyBorder="1" applyFont="1">
      <alignment horizontal="center" shrinkToFit="0" vertical="center" wrapText="0"/>
    </xf>
    <xf borderId="0" fillId="0" fontId="17" numFmtId="0" xfId="0" applyAlignment="1" applyFont="1">
      <alignment shrinkToFit="0" vertical="center" wrapText="0"/>
    </xf>
    <xf borderId="6" fillId="3" fontId="8" numFmtId="0" xfId="0" applyAlignment="1" applyBorder="1" applyFont="1">
      <alignment horizontal="center" readingOrder="0" vertical="center"/>
    </xf>
    <xf borderId="6" fillId="0" fontId="13" numFmtId="0" xfId="0" applyBorder="1" applyFont="1"/>
    <xf borderId="21" fillId="3" fontId="8" numFmtId="0" xfId="0" applyAlignment="1" applyBorder="1" applyFont="1">
      <alignment horizontal="center" vertical="center"/>
    </xf>
    <xf borderId="22" fillId="3" fontId="8" numFmtId="0" xfId="0" applyAlignment="1" applyBorder="1" applyFont="1">
      <alignment horizontal="center" vertical="center"/>
    </xf>
    <xf borderId="23" fillId="3" fontId="8" numFmtId="0" xfId="0" applyAlignment="1" applyBorder="1" applyFont="1">
      <alignment horizontal="center" vertical="center"/>
    </xf>
    <xf borderId="14" fillId="6" fontId="14" numFmtId="0" xfId="0" applyAlignment="1" applyBorder="1" applyFont="1">
      <alignment horizontal="center" vertical="center"/>
    </xf>
    <xf borderId="24" fillId="6" fontId="14" numFmtId="0" xfId="0" applyAlignment="1" applyBorder="1" applyFont="1">
      <alignment horizontal="center" vertical="center"/>
    </xf>
    <xf borderId="4" fillId="6" fontId="14" numFmtId="0" xfId="0" applyAlignment="1" applyBorder="1" applyFont="1">
      <alignment horizontal="center" vertical="center"/>
    </xf>
    <xf borderId="3" fillId="6" fontId="8" numFmtId="0" xfId="0" applyAlignment="1" applyBorder="1" applyFont="1">
      <alignment horizontal="center" vertical="center"/>
    </xf>
    <xf borderId="14" fillId="6" fontId="8" numFmtId="0" xfId="0" applyAlignment="1" applyBorder="1" applyFont="1">
      <alignment horizontal="center" vertical="center"/>
    </xf>
    <xf borderId="25" fillId="0" fontId="13" numFmtId="0" xfId="0" applyBorder="1" applyFont="1"/>
    <xf borderId="26" fillId="3" fontId="15" numFmtId="0" xfId="0" applyAlignment="1" applyBorder="1" applyFont="1">
      <alignment horizontal="center" vertical="center"/>
    </xf>
    <xf borderId="27" fillId="0" fontId="2" numFmtId="0" xfId="0" applyBorder="1" applyFont="1"/>
    <xf borderId="28" fillId="3" fontId="15" numFmtId="0" xfId="0" applyAlignment="1" applyBorder="1" applyFont="1">
      <alignment horizontal="right" vertical="center"/>
    </xf>
    <xf borderId="29" fillId="0" fontId="2" numFmtId="0" xfId="0" applyBorder="1" applyFont="1"/>
    <xf borderId="30" fillId="3" fontId="15" numFmtId="0" xfId="0" applyAlignment="1" applyBorder="1" applyFont="1">
      <alignment horizontal="right" vertical="center"/>
    </xf>
    <xf borderId="25" fillId="6" fontId="11" numFmtId="3" xfId="0" applyAlignment="1" applyBorder="1" applyFont="1" applyNumberFormat="1">
      <alignment horizontal="center" vertical="center"/>
    </xf>
    <xf borderId="20" fillId="6" fontId="11" numFmtId="3" xfId="0" applyAlignment="1" applyBorder="1" applyFont="1" applyNumberFormat="1">
      <alignment horizontal="center" vertical="center"/>
    </xf>
    <xf borderId="0" fillId="0" fontId="14" numFmtId="0" xfId="0" applyAlignment="1" applyFont="1">
      <alignment horizontal="left" vertical="center"/>
    </xf>
    <xf borderId="0" fillId="0" fontId="10" numFmtId="0" xfId="0" applyAlignment="1" applyFont="1">
      <alignment horizontal="left" vertical="center"/>
    </xf>
    <xf borderId="11" fillId="0" fontId="14" numFmtId="0" xfId="0" applyAlignment="1" applyBorder="1" applyFont="1">
      <alignment horizontal="center" vertical="center"/>
    </xf>
    <xf borderId="18" fillId="0" fontId="8" numFmtId="0" xfId="0" applyAlignment="1" applyBorder="1" applyFont="1">
      <alignment horizontal="center" vertical="center"/>
    </xf>
    <xf borderId="18" fillId="0" fontId="8" numFmtId="3" xfId="0" applyAlignment="1" applyBorder="1" applyFont="1" applyNumberFormat="1">
      <alignment horizontal="center" vertical="center"/>
    </xf>
    <xf borderId="18" fillId="0" fontId="8" numFmtId="3" xfId="0" applyAlignment="1" applyBorder="1" applyFont="1" applyNumberFormat="1">
      <alignment horizontal="center" vertical="center"/>
    </xf>
    <xf borderId="11" fillId="0" fontId="14" numFmtId="0" xfId="0" applyAlignment="1" applyBorder="1" applyFont="1">
      <alignment horizontal="center" vertical="center"/>
    </xf>
    <xf borderId="12" fillId="0" fontId="2" numFmtId="0" xfId="0" applyBorder="1" applyFont="1"/>
    <xf borderId="17" fillId="0" fontId="2" numFmtId="0" xfId="0" applyBorder="1" applyFont="1"/>
    <xf borderId="18" fillId="0" fontId="8" numFmtId="0" xfId="0" applyAlignment="1" applyBorder="1" applyFont="1">
      <alignment horizontal="center" vertical="center"/>
    </xf>
    <xf borderId="11" fillId="0" fontId="14" numFmtId="0" xfId="0" applyAlignment="1" applyBorder="1" applyFont="1">
      <alignment horizontal="center" vertical="center"/>
    </xf>
    <xf borderId="18" fillId="0" fontId="8" numFmtId="3" xfId="0" applyAlignment="1" applyBorder="1" applyFont="1" applyNumberFormat="1">
      <alignment horizontal="center" vertical="center"/>
    </xf>
    <xf borderId="31" fillId="0" fontId="18" numFmtId="0" xfId="0" applyAlignment="1" applyBorder="1" applyFont="1">
      <alignment horizontal="center" readingOrder="0" shrinkToFit="0" vertical="center" wrapText="0"/>
    </xf>
    <xf borderId="32" fillId="0" fontId="18" numFmtId="0" xfId="0" applyAlignment="1" applyBorder="1" applyFont="1">
      <alignment horizontal="center" readingOrder="0" shrinkToFit="0" vertical="center" wrapText="0"/>
    </xf>
    <xf borderId="32" fillId="0" fontId="19" numFmtId="0" xfId="0" applyAlignment="1" applyBorder="1" applyFont="1">
      <alignment horizontal="center" readingOrder="0" shrinkToFit="0" vertical="center" wrapText="0"/>
    </xf>
    <xf borderId="32" fillId="0" fontId="18" numFmtId="0" xfId="0" applyAlignment="1" applyBorder="1" applyFont="1">
      <alignment horizontal="center" readingOrder="0" shrinkToFit="0" vertical="center" wrapText="0"/>
    </xf>
    <xf borderId="33" fillId="0" fontId="18" numFmtId="0" xfId="0" applyAlignment="1" applyBorder="1" applyFont="1">
      <alignment horizontal="center" readingOrder="0" shrinkToFit="0" vertical="center" wrapText="0"/>
    </xf>
    <xf borderId="0" fillId="0" fontId="18" numFmtId="0" xfId="0" applyAlignment="1" applyFont="1">
      <alignment horizontal="center" shrinkToFit="0" vertical="center" wrapText="0"/>
    </xf>
    <xf borderId="13" fillId="0" fontId="14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horizontal="center" readingOrder="0" vertical="center"/>
    </xf>
    <xf borderId="34" fillId="0" fontId="17" numFmtId="0" xfId="0" applyAlignment="1" applyBorder="1" applyFont="1">
      <alignment horizontal="center" vertical="center"/>
    </xf>
    <xf borderId="0" fillId="0" fontId="14" numFmtId="0" xfId="0" applyAlignment="1" applyFont="1">
      <alignment horizontal="center" readingOrder="0" vertical="center"/>
    </xf>
    <xf borderId="15" fillId="0" fontId="14" numFmtId="0" xfId="0" applyAlignment="1" applyBorder="1" applyFont="1">
      <alignment horizontal="center" readingOrder="0" vertical="center"/>
    </xf>
    <xf borderId="4" fillId="0" fontId="14" numFmtId="0" xfId="0" applyAlignment="1" applyBorder="1" applyFont="1">
      <alignment horizontal="center" readingOrder="0" vertical="center"/>
    </xf>
    <xf borderId="4" fillId="0" fontId="17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readingOrder="0" vertical="center"/>
    </xf>
    <xf borderId="35" fillId="0" fontId="17" numFmtId="0" xfId="0" applyAlignment="1" applyBorder="1" applyFont="1">
      <alignment horizontal="center" vertical="center"/>
    </xf>
    <xf borderId="18" fillId="0" fontId="17" numFmtId="0" xfId="0" applyAlignment="1" applyBorder="1" applyFont="1">
      <alignment horizontal="center" vertical="center"/>
    </xf>
    <xf borderId="18" fillId="0" fontId="18" numFmtId="0" xfId="0" applyAlignment="1" applyBorder="1" applyFont="1">
      <alignment horizontal="center" readingOrder="0" shrinkToFit="0" vertical="center" wrapText="0"/>
    </xf>
    <xf borderId="0" fillId="8" fontId="13" numFmtId="0" xfId="0" applyFill="1" applyFont="1"/>
    <xf borderId="22" fillId="8" fontId="3" numFmtId="0" xfId="0" applyAlignment="1" applyBorder="1" applyFont="1">
      <alignment horizontal="center" shrinkToFit="0" vertical="center" wrapText="0"/>
    </xf>
    <xf borderId="36" fillId="8" fontId="3" numFmtId="0" xfId="0" applyAlignment="1" applyBorder="1" applyFont="1">
      <alignment horizontal="center" shrinkToFit="0" vertical="center" wrapText="0"/>
    </xf>
    <xf borderId="0" fillId="4" fontId="13" numFmtId="0" xfId="0" applyFont="1"/>
    <xf borderId="34" fillId="4" fontId="3" numFmtId="0" xfId="0" applyAlignment="1" applyBorder="1" applyFont="1">
      <alignment horizontal="center" shrinkToFit="0" vertical="center" wrapText="0"/>
    </xf>
    <xf borderId="37" fillId="4" fontId="20" numFmtId="0" xfId="0" applyAlignment="1" applyBorder="1" applyFont="1">
      <alignment horizontal="center" shrinkToFit="0" vertical="center" wrapText="0"/>
    </xf>
    <xf borderId="13" fillId="4" fontId="21" numFmtId="0" xfId="0" applyAlignment="1" applyBorder="1" applyFont="1">
      <alignment horizontal="center" shrinkToFit="0" vertical="center" wrapText="0"/>
    </xf>
    <xf borderId="13" fillId="4" fontId="20" numFmtId="0" xfId="0" applyAlignment="1" applyBorder="1" applyFont="1">
      <alignment horizontal="center" shrinkToFit="0" vertical="center" wrapText="0"/>
    </xf>
    <xf borderId="38" fillId="4" fontId="20" numFmtId="0" xfId="0" applyAlignment="1" applyBorder="1" applyFont="1">
      <alignment horizontal="center" readingOrder="0" shrinkToFit="0" vertical="center" wrapText="0"/>
    </xf>
    <xf borderId="10" fillId="5" fontId="22" numFmtId="0" xfId="0" applyAlignment="1" applyBorder="1" applyFont="1">
      <alignment horizontal="center" readingOrder="0" shrinkToFit="0" vertical="center" wrapText="0"/>
    </xf>
    <xf borderId="10" fillId="5" fontId="22" numFmtId="0" xfId="0" applyAlignment="1" applyBorder="1" applyFont="1">
      <alignment horizontal="center" readingOrder="0" vertical="center"/>
    </xf>
    <xf borderId="39" fillId="5" fontId="22" numFmtId="0" xfId="0" applyAlignment="1" applyBorder="1" applyFont="1">
      <alignment horizontal="center" vertical="center"/>
    </xf>
    <xf borderId="40" fillId="5" fontId="22" numFmtId="0" xfId="0" applyAlignment="1" applyBorder="1" applyFont="1">
      <alignment horizontal="center" vertical="center"/>
    </xf>
    <xf borderId="41" fillId="5" fontId="22" numFmtId="0" xfId="0" applyAlignment="1" applyBorder="1" applyFont="1">
      <alignment horizontal="center" vertical="center"/>
    </xf>
    <xf borderId="41" fillId="5" fontId="23" numFmtId="0" xfId="0" applyAlignment="1" applyBorder="1" applyFont="1">
      <alignment horizontal="center" vertical="center"/>
    </xf>
    <xf borderId="42" fillId="5" fontId="23" numFmtId="0" xfId="0" applyAlignment="1" applyBorder="1" applyFont="1">
      <alignment horizontal="center" vertical="center"/>
    </xf>
    <xf borderId="6" fillId="3" fontId="14" numFmtId="0" xfId="0" applyAlignment="1" applyBorder="1" applyFont="1">
      <alignment horizontal="center" vertical="center"/>
    </xf>
    <xf borderId="0" fillId="3" fontId="14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3" fontId="14" numFmtId="0" xfId="0" applyAlignment="1" applyFont="1">
      <alignment horizontal="center" readingOrder="0" vertical="center"/>
    </xf>
    <xf borderId="7" fillId="6" fontId="14" numFmtId="0" xfId="0" applyAlignment="1" applyBorder="1" applyFont="1">
      <alignment horizontal="center" vertical="center"/>
    </xf>
    <xf borderId="7" fillId="3" fontId="14" numFmtId="0" xfId="0" applyAlignment="1" applyBorder="1" applyFont="1">
      <alignment horizontal="center" vertical="center"/>
    </xf>
    <xf borderId="0" fillId="6" fontId="24" numFmtId="0" xfId="0" applyAlignment="1" applyFont="1">
      <alignment horizontal="center" shrinkToFit="0" vertical="center" wrapText="0"/>
    </xf>
    <xf borderId="7" fillId="0" fontId="14" numFmtId="0" xfId="0" applyAlignment="1" applyBorder="1" applyFont="1">
      <alignment horizontal="center" vertical="center"/>
    </xf>
    <xf borderId="0" fillId="6" fontId="20" numFmtId="0" xfId="0" applyAlignment="1" applyFont="1">
      <alignment horizontal="center" shrinkToFit="0" vertical="center" wrapText="0"/>
    </xf>
    <xf borderId="7" fillId="3" fontId="14" numFmtId="0" xfId="0" applyAlignment="1" applyBorder="1" applyFont="1">
      <alignment horizontal="center" vertical="center"/>
    </xf>
    <xf borderId="7" fillId="6" fontId="14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center" vertical="center"/>
    </xf>
    <xf borderId="0" fillId="0" fontId="25" numFmtId="0" xfId="0" applyAlignment="1" applyFont="1">
      <alignment horizontal="center" readingOrder="0" vertical="center"/>
    </xf>
    <xf borderId="6" fillId="0" fontId="14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6" fontId="14" numFmtId="0" xfId="0" applyAlignment="1" applyFont="1">
      <alignment horizontal="center" readingOrder="0" vertical="center"/>
    </xf>
    <xf borderId="7" fillId="3" fontId="14" numFmtId="0" xfId="0" applyAlignment="1" applyBorder="1" applyFont="1">
      <alignment horizontal="center" readingOrder="0" vertical="center"/>
    </xf>
    <xf borderId="21" fillId="3" fontId="14" numFmtId="0" xfId="0" applyAlignment="1" applyBorder="1" applyFont="1">
      <alignment horizontal="center" vertical="center"/>
    </xf>
    <xf borderId="22" fillId="3" fontId="14" numFmtId="0" xfId="0" applyAlignment="1" applyBorder="1" applyFont="1">
      <alignment horizontal="center" vertical="center"/>
    </xf>
    <xf borderId="22" fillId="6" fontId="14" numFmtId="0" xfId="0" applyAlignment="1" applyBorder="1" applyFont="1">
      <alignment horizontal="center" vertical="center"/>
    </xf>
    <xf borderId="36" fillId="3" fontId="14" numFmtId="0" xfId="0" applyAlignment="1" applyBorder="1" applyFont="1">
      <alignment horizontal="center" vertical="center"/>
    </xf>
    <xf borderId="20" fillId="6" fontId="14" numFmtId="0" xfId="0" applyAlignment="1" applyBorder="1" applyFont="1">
      <alignment horizontal="center" vertical="center"/>
    </xf>
    <xf borderId="25" fillId="6" fontId="14" numFmtId="0" xfId="0" applyAlignment="1" applyBorder="1" applyFont="1">
      <alignment horizontal="center" vertical="center"/>
    </xf>
    <xf borderId="20" fillId="6" fontId="14" numFmtId="0" xfId="0" applyAlignment="1" applyBorder="1" applyFont="1">
      <alignment horizontal="center" vertical="center"/>
    </xf>
    <xf borderId="20" fillId="6" fontId="14" numFmtId="0" xfId="0" applyAlignment="1" applyBorder="1" applyFont="1">
      <alignment horizontal="center" vertical="center"/>
    </xf>
    <xf borderId="25" fillId="9" fontId="16" numFmtId="0" xfId="0" applyBorder="1" applyFill="1" applyFont="1"/>
    <xf borderId="43" fillId="0" fontId="2" numFmtId="0" xfId="0" applyBorder="1" applyFont="1"/>
    <xf borderId="25" fillId="9" fontId="14" numFmtId="0" xfId="0" applyAlignment="1" applyBorder="1" applyFont="1">
      <alignment horizontal="center" vertical="center"/>
    </xf>
    <xf borderId="44" fillId="0" fontId="2" numFmtId="0" xfId="0" applyBorder="1" applyFont="1"/>
    <xf borderId="43" fillId="0" fontId="2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75"/>
    <col customWidth="1" min="2" max="3" width="14.38"/>
    <col customWidth="1" min="4" max="4" width="17.5"/>
    <col customWidth="1" min="5" max="5" width="15.38"/>
    <col customWidth="1" min="6" max="7" width="17.38"/>
    <col customWidth="1" min="8" max="8" width="18.13"/>
    <col customWidth="1" min="9" max="9" width="18.63"/>
    <col customWidth="1" min="10" max="10" width="17.38"/>
    <col customWidth="1" min="11" max="11" width="16.88"/>
    <col customWidth="1" min="12" max="12" width="20.38"/>
    <col customWidth="1" min="13" max="14" width="18.13"/>
    <col customWidth="1" min="15" max="15" width="20.0"/>
    <col customWidth="1" min="16" max="20" width="17.25"/>
    <col customWidth="1" min="21" max="21" width="17.13"/>
    <col customWidth="1" min="22" max="22" width="19.0"/>
    <col customWidth="1" min="23" max="23" width="19.5"/>
    <col customWidth="1" min="24" max="24" width="20.25"/>
    <col customWidth="1" min="25" max="26" width="18.63"/>
    <col customWidth="1" min="27" max="28" width="17.0"/>
    <col customWidth="1" min="29" max="29" width="26.38"/>
    <col customWidth="1" min="30" max="31" width="20.38"/>
    <col customWidth="1" min="32" max="32" width="17.0"/>
    <col customWidth="1" min="33" max="33" width="18.25"/>
  </cols>
  <sheetData>
    <row r="1" ht="6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41.25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3" ht="41.25" customHeight="1">
      <c r="A3" s="6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7"/>
      <c r="AG3" s="8"/>
    </row>
    <row r="4" ht="41.25" customHeight="1">
      <c r="A4" s="9" t="s">
        <v>3</v>
      </c>
      <c r="L4" s="10"/>
    </row>
    <row r="5" ht="30.75" customHeight="1">
      <c r="A5" s="11" t="s">
        <v>4</v>
      </c>
      <c r="B5" s="12" t="s">
        <v>5</v>
      </c>
      <c r="C5" s="12" t="s">
        <v>6</v>
      </c>
      <c r="D5" s="13" t="s">
        <v>7</v>
      </c>
      <c r="E5" s="14" t="s">
        <v>8</v>
      </c>
      <c r="F5" s="14" t="s">
        <v>9</v>
      </c>
      <c r="G5" s="14" t="s">
        <v>10</v>
      </c>
      <c r="H5" s="14" t="s">
        <v>11</v>
      </c>
      <c r="I5" s="14" t="s">
        <v>12</v>
      </c>
      <c r="J5" s="14" t="s">
        <v>13</v>
      </c>
      <c r="K5" s="15" t="s">
        <v>14</v>
      </c>
    </row>
    <row r="6" ht="32.25" customHeight="1">
      <c r="A6" s="16" t="str">
        <f>ROMAN(1)</f>
        <v>I</v>
      </c>
      <c r="B6" s="17">
        <v>1354.37</v>
      </c>
      <c r="C6" s="17" t="s">
        <v>15</v>
      </c>
      <c r="D6" s="17" t="s">
        <v>15</v>
      </c>
      <c r="E6" s="17">
        <v>3622.0</v>
      </c>
      <c r="F6" s="17">
        <v>3181.57</v>
      </c>
      <c r="G6" s="17">
        <f t="shared" ref="G6:G36" si="1">sum(E6-F6)</f>
        <v>440.43</v>
      </c>
      <c r="H6" s="18">
        <v>0.0</v>
      </c>
      <c r="I6" s="17">
        <v>313.26</v>
      </c>
      <c r="J6" s="17">
        <f t="shared" ref="J6:J36" si="2">SUM(B6*I6)</f>
        <v>424269.9462</v>
      </c>
      <c r="K6" s="19">
        <f t="shared" ref="K6:K36" si="3">SUM(E6*H6)</f>
        <v>0</v>
      </c>
      <c r="AG6" s="20"/>
    </row>
    <row r="7" ht="32.25" customHeight="1">
      <c r="A7" s="21">
        <v>2.0</v>
      </c>
      <c r="B7" s="22">
        <v>1459.39</v>
      </c>
      <c r="C7" s="17" t="s">
        <v>15</v>
      </c>
      <c r="D7" s="17" t="s">
        <v>15</v>
      </c>
      <c r="E7" s="22">
        <v>2039.0</v>
      </c>
      <c r="F7" s="22">
        <v>1722.18</v>
      </c>
      <c r="G7" s="17">
        <f t="shared" si="1"/>
        <v>316.82</v>
      </c>
      <c r="H7" s="18">
        <v>0.0</v>
      </c>
      <c r="I7" s="17">
        <v>313.26</v>
      </c>
      <c r="J7" s="17">
        <f t="shared" si="2"/>
        <v>457168.5114</v>
      </c>
      <c r="K7" s="19">
        <f t="shared" si="3"/>
        <v>0</v>
      </c>
    </row>
    <row r="8" ht="32.25" customHeight="1">
      <c r="A8" s="16">
        <v>3.0</v>
      </c>
      <c r="B8" s="17">
        <v>941.56</v>
      </c>
      <c r="C8" s="17" t="s">
        <v>15</v>
      </c>
      <c r="D8" s="17" t="s">
        <v>15</v>
      </c>
      <c r="E8" s="17">
        <v>956.0</v>
      </c>
      <c r="F8" s="22">
        <v>780.62</v>
      </c>
      <c r="G8" s="17">
        <f t="shared" si="1"/>
        <v>175.38</v>
      </c>
      <c r="H8" s="18">
        <v>0.0</v>
      </c>
      <c r="I8" s="17">
        <v>313.26</v>
      </c>
      <c r="J8" s="17">
        <f t="shared" si="2"/>
        <v>294953.0856</v>
      </c>
      <c r="K8" s="19">
        <f t="shared" si="3"/>
        <v>0</v>
      </c>
    </row>
    <row r="9" ht="32.25" customHeight="1">
      <c r="A9" s="21">
        <v>4.0</v>
      </c>
      <c r="B9" s="22">
        <v>2088.26</v>
      </c>
      <c r="C9" s="17" t="s">
        <v>15</v>
      </c>
      <c r="D9" s="17">
        <v>7000.0</v>
      </c>
      <c r="E9" s="22">
        <v>6308.0</v>
      </c>
      <c r="F9" s="22">
        <v>5692.36</v>
      </c>
      <c r="G9" s="17">
        <f t="shared" si="1"/>
        <v>615.64</v>
      </c>
      <c r="H9" s="23">
        <v>1.97</v>
      </c>
      <c r="I9" s="17">
        <v>311.29</v>
      </c>
      <c r="J9" s="17">
        <f t="shared" si="2"/>
        <v>650054.4554</v>
      </c>
      <c r="K9" s="19">
        <f t="shared" si="3"/>
        <v>12426.76</v>
      </c>
    </row>
    <row r="10" ht="32.25" customHeight="1">
      <c r="A10" s="16">
        <v>5.0</v>
      </c>
      <c r="B10" s="17">
        <v>1003.3</v>
      </c>
      <c r="C10" s="17" t="s">
        <v>15</v>
      </c>
      <c r="D10" s="17" t="s">
        <v>15</v>
      </c>
      <c r="E10" s="17">
        <v>5295.0</v>
      </c>
      <c r="F10" s="22">
        <v>4689.06</v>
      </c>
      <c r="G10" s="17">
        <f t="shared" si="1"/>
        <v>605.94</v>
      </c>
      <c r="H10" s="18">
        <v>0.0</v>
      </c>
      <c r="I10" s="17">
        <v>311.29</v>
      </c>
      <c r="J10" s="17">
        <f t="shared" si="2"/>
        <v>312317.257</v>
      </c>
      <c r="K10" s="19">
        <f t="shared" si="3"/>
        <v>0</v>
      </c>
    </row>
    <row r="11" ht="32.25" customHeight="1">
      <c r="A11" s="21">
        <v>6.0</v>
      </c>
      <c r="B11" s="22">
        <v>666.71</v>
      </c>
      <c r="C11" s="17" t="s">
        <v>15</v>
      </c>
      <c r="D11" s="17" t="s">
        <v>15</v>
      </c>
      <c r="E11" s="22">
        <v>4570.0</v>
      </c>
      <c r="F11" s="22">
        <v>4022.0</v>
      </c>
      <c r="G11" s="17">
        <f t="shared" si="1"/>
        <v>548</v>
      </c>
      <c r="H11" s="18">
        <v>0.0</v>
      </c>
      <c r="I11" s="17">
        <v>311.29</v>
      </c>
      <c r="J11" s="17">
        <f t="shared" si="2"/>
        <v>207540.1559</v>
      </c>
      <c r="K11" s="19">
        <f t="shared" si="3"/>
        <v>0</v>
      </c>
      <c r="AG11" s="8"/>
    </row>
    <row r="12" ht="32.25" customHeight="1">
      <c r="A12" s="16">
        <v>7.0</v>
      </c>
      <c r="B12" s="17">
        <v>668.25</v>
      </c>
      <c r="C12" s="17" t="s">
        <v>15</v>
      </c>
      <c r="D12" s="17" t="s">
        <v>15</v>
      </c>
      <c r="E12" s="17">
        <v>3845.0</v>
      </c>
      <c r="F12" s="22">
        <v>3354.0</v>
      </c>
      <c r="G12" s="17">
        <f t="shared" si="1"/>
        <v>491</v>
      </c>
      <c r="H12" s="18">
        <v>0.0</v>
      </c>
      <c r="I12" s="17">
        <v>311.29</v>
      </c>
      <c r="J12" s="17">
        <f t="shared" si="2"/>
        <v>208019.5425</v>
      </c>
      <c r="K12" s="19">
        <f t="shared" si="3"/>
        <v>0</v>
      </c>
    </row>
    <row r="13" ht="32.25" customHeight="1">
      <c r="A13" s="21">
        <v>8.0</v>
      </c>
      <c r="B13" s="22">
        <v>805.89</v>
      </c>
      <c r="C13" s="17" t="s">
        <v>15</v>
      </c>
      <c r="D13" s="17" t="s">
        <v>15</v>
      </c>
      <c r="E13" s="22">
        <v>3004.0</v>
      </c>
      <c r="F13" s="22">
        <v>2548.0</v>
      </c>
      <c r="G13" s="17">
        <f t="shared" si="1"/>
        <v>456</v>
      </c>
      <c r="H13" s="18">
        <v>0.0</v>
      </c>
      <c r="I13" s="17">
        <v>311.29</v>
      </c>
      <c r="J13" s="17">
        <f t="shared" si="2"/>
        <v>250865.4981</v>
      </c>
      <c r="K13" s="19">
        <f t="shared" si="3"/>
        <v>0</v>
      </c>
      <c r="AH13" s="24"/>
    </row>
    <row r="14" ht="32.25" customHeight="1">
      <c r="A14" s="16">
        <v>9.0</v>
      </c>
      <c r="B14" s="17">
        <v>984.91</v>
      </c>
      <c r="C14" s="17" t="s">
        <v>15</v>
      </c>
      <c r="D14" s="17" t="s">
        <v>15</v>
      </c>
      <c r="E14" s="17">
        <v>1928.0</v>
      </c>
      <c r="F14" s="17">
        <v>1563.0</v>
      </c>
      <c r="G14" s="17">
        <f t="shared" si="1"/>
        <v>365</v>
      </c>
      <c r="H14" s="18">
        <v>0.0</v>
      </c>
      <c r="I14" s="17">
        <v>311.29</v>
      </c>
      <c r="J14" s="17">
        <f t="shared" si="2"/>
        <v>306592.6339</v>
      </c>
      <c r="K14" s="19">
        <f t="shared" si="3"/>
        <v>0</v>
      </c>
      <c r="AG14" s="20"/>
    </row>
    <row r="15" ht="32.25" customHeight="1">
      <c r="A15" s="21">
        <v>10.0</v>
      </c>
      <c r="B15" s="22">
        <v>537.28</v>
      </c>
      <c r="C15" s="17" t="s">
        <v>15</v>
      </c>
      <c r="D15" s="17" t="s">
        <v>15</v>
      </c>
      <c r="E15" s="22">
        <v>1284.0</v>
      </c>
      <c r="F15" s="22">
        <v>1026.0</v>
      </c>
      <c r="G15" s="17">
        <f t="shared" si="1"/>
        <v>258</v>
      </c>
      <c r="H15" s="18">
        <v>0.0</v>
      </c>
      <c r="I15" s="17">
        <v>311.29</v>
      </c>
      <c r="J15" s="17">
        <f t="shared" si="2"/>
        <v>167249.8912</v>
      </c>
      <c r="K15" s="19">
        <f t="shared" si="3"/>
        <v>0</v>
      </c>
    </row>
    <row r="16" ht="32.25" customHeight="1">
      <c r="A16" s="16">
        <v>11.0</v>
      </c>
      <c r="B16" s="17">
        <v>1706.61</v>
      </c>
      <c r="C16" s="17" t="s">
        <v>15</v>
      </c>
      <c r="D16" s="17">
        <v>5000.0</v>
      </c>
      <c r="E16" s="17">
        <v>4904.0</v>
      </c>
      <c r="F16" s="22">
        <v>4319.0</v>
      </c>
      <c r="G16" s="17">
        <f t="shared" si="1"/>
        <v>585</v>
      </c>
      <c r="H16" s="17">
        <v>13.8</v>
      </c>
      <c r="I16" s="17">
        <v>325.08</v>
      </c>
      <c r="J16" s="17">
        <f t="shared" si="2"/>
        <v>554784.7788</v>
      </c>
      <c r="K16" s="19">
        <f t="shared" si="3"/>
        <v>67675.2</v>
      </c>
    </row>
    <row r="17" ht="32.25" customHeight="1">
      <c r="A17" s="21">
        <v>12.0</v>
      </c>
      <c r="B17" s="22">
        <v>305.13</v>
      </c>
      <c r="C17" s="17">
        <v>12.0</v>
      </c>
      <c r="D17" s="17" t="s">
        <v>15</v>
      </c>
      <c r="E17" s="22">
        <v>4570.0</v>
      </c>
      <c r="F17" s="22">
        <v>4026.0</v>
      </c>
      <c r="G17" s="17">
        <f t="shared" si="1"/>
        <v>544</v>
      </c>
      <c r="H17" s="18">
        <v>0.0</v>
      </c>
      <c r="I17" s="17">
        <v>325.08</v>
      </c>
      <c r="J17" s="17">
        <f t="shared" si="2"/>
        <v>99191.6604</v>
      </c>
      <c r="K17" s="19">
        <f t="shared" si="3"/>
        <v>0</v>
      </c>
    </row>
    <row r="18" ht="32.25" customHeight="1">
      <c r="A18" s="16">
        <v>13.0</v>
      </c>
      <c r="B18" s="17">
        <v>885.62</v>
      </c>
      <c r="C18" s="17" t="s">
        <v>15</v>
      </c>
      <c r="D18" s="17" t="s">
        <v>15</v>
      </c>
      <c r="E18" s="17">
        <v>3652.0</v>
      </c>
      <c r="F18" s="22">
        <v>3140.0</v>
      </c>
      <c r="G18" s="17">
        <f t="shared" si="1"/>
        <v>512</v>
      </c>
      <c r="H18" s="18">
        <v>0.0</v>
      </c>
      <c r="I18" s="17">
        <v>325.08</v>
      </c>
      <c r="J18" s="17">
        <f t="shared" si="2"/>
        <v>287897.3496</v>
      </c>
      <c r="K18" s="19">
        <f t="shared" si="3"/>
        <v>0</v>
      </c>
    </row>
    <row r="19" ht="32.25" customHeight="1">
      <c r="A19" s="21">
        <v>14.0</v>
      </c>
      <c r="B19" s="22">
        <v>531.29</v>
      </c>
      <c r="C19" s="17" t="s">
        <v>15</v>
      </c>
      <c r="D19" s="17" t="s">
        <v>15</v>
      </c>
      <c r="E19" s="22">
        <v>3145.0</v>
      </c>
      <c r="F19" s="22">
        <v>2609.0</v>
      </c>
      <c r="G19" s="17">
        <f t="shared" si="1"/>
        <v>536</v>
      </c>
      <c r="H19" s="18">
        <v>0.0</v>
      </c>
      <c r="I19" s="17">
        <v>325.08</v>
      </c>
      <c r="J19" s="17">
        <f t="shared" si="2"/>
        <v>172711.7532</v>
      </c>
      <c r="K19" s="19">
        <f t="shared" si="3"/>
        <v>0</v>
      </c>
    </row>
    <row r="20" ht="32.25" customHeight="1">
      <c r="A20" s="16">
        <v>15.0</v>
      </c>
      <c r="B20" s="17">
        <v>2172.84</v>
      </c>
      <c r="C20" s="17" t="s">
        <v>15</v>
      </c>
      <c r="D20" s="17">
        <v>5000.0</v>
      </c>
      <c r="E20" s="17">
        <v>6101.0</v>
      </c>
      <c r="F20" s="22">
        <v>5436.0</v>
      </c>
      <c r="G20" s="17">
        <f t="shared" si="1"/>
        <v>665</v>
      </c>
      <c r="H20" s="18">
        <v>0.0</v>
      </c>
      <c r="I20" s="17">
        <v>325.08</v>
      </c>
      <c r="J20" s="17">
        <f t="shared" si="2"/>
        <v>706346.8272</v>
      </c>
      <c r="K20" s="19">
        <f t="shared" si="3"/>
        <v>0</v>
      </c>
    </row>
    <row r="21" ht="32.25" customHeight="1">
      <c r="A21" s="16">
        <v>16.0</v>
      </c>
      <c r="B21" s="17">
        <v>2976.76</v>
      </c>
      <c r="C21" s="17" t="s">
        <v>15</v>
      </c>
      <c r="D21" s="17">
        <v>10000.0</v>
      </c>
      <c r="E21" s="17">
        <v>13277.0</v>
      </c>
      <c r="F21" s="22">
        <v>12459.77</v>
      </c>
      <c r="G21" s="17">
        <f t="shared" si="1"/>
        <v>817.23</v>
      </c>
      <c r="H21" s="18">
        <v>0.0</v>
      </c>
      <c r="I21" s="17">
        <v>325.08</v>
      </c>
      <c r="J21" s="17">
        <f t="shared" si="2"/>
        <v>967685.1408</v>
      </c>
      <c r="K21" s="19">
        <f t="shared" si="3"/>
        <v>0</v>
      </c>
    </row>
    <row r="22" ht="32.25" customHeight="1">
      <c r="A22" s="21">
        <v>17.0</v>
      </c>
      <c r="B22" s="17">
        <v>3438.35</v>
      </c>
      <c r="C22" s="17" t="s">
        <v>15</v>
      </c>
      <c r="D22" s="17">
        <v>5000.0</v>
      </c>
      <c r="E22" s="17">
        <v>14906.0</v>
      </c>
      <c r="F22" s="22">
        <v>14021.42</v>
      </c>
      <c r="G22" s="17">
        <f t="shared" si="1"/>
        <v>884.58</v>
      </c>
      <c r="H22" s="18">
        <v>0.0</v>
      </c>
      <c r="I22" s="17">
        <v>325.08</v>
      </c>
      <c r="J22" s="17">
        <f t="shared" si="2"/>
        <v>1117738.818</v>
      </c>
      <c r="K22" s="19">
        <f t="shared" si="3"/>
        <v>0</v>
      </c>
    </row>
    <row r="23" ht="32.25" customHeight="1">
      <c r="A23" s="16">
        <v>18.0</v>
      </c>
      <c r="B23" s="17">
        <v>1379.09</v>
      </c>
      <c r="C23" s="17" t="s">
        <v>15</v>
      </c>
      <c r="D23" s="17" t="s">
        <v>15</v>
      </c>
      <c r="E23" s="17">
        <v>13442.0</v>
      </c>
      <c r="F23" s="22">
        <v>12642.33</v>
      </c>
      <c r="G23" s="17">
        <f t="shared" si="1"/>
        <v>799.67</v>
      </c>
      <c r="H23" s="17">
        <v>31.09</v>
      </c>
      <c r="I23" s="17">
        <v>356.17</v>
      </c>
      <c r="J23" s="17">
        <f t="shared" si="2"/>
        <v>491190.4853</v>
      </c>
      <c r="K23" s="19">
        <f t="shared" si="3"/>
        <v>417911.78</v>
      </c>
    </row>
    <row r="24" ht="32.25" customHeight="1">
      <c r="A24" s="21">
        <v>19.0</v>
      </c>
      <c r="B24" s="17">
        <v>1543.38</v>
      </c>
      <c r="C24" s="17" t="s">
        <v>15</v>
      </c>
      <c r="D24" s="17" t="s">
        <v>15</v>
      </c>
      <c r="E24" s="17">
        <v>11929.0</v>
      </c>
      <c r="F24" s="22">
        <v>11098.95</v>
      </c>
      <c r="G24" s="17">
        <f t="shared" si="1"/>
        <v>830.05</v>
      </c>
      <c r="H24" s="18">
        <v>0.0</v>
      </c>
      <c r="I24" s="17">
        <v>356.17</v>
      </c>
      <c r="J24" s="17">
        <f t="shared" si="2"/>
        <v>549705.6546</v>
      </c>
      <c r="K24" s="19">
        <f t="shared" si="3"/>
        <v>0</v>
      </c>
    </row>
    <row r="25" ht="32.25" customHeight="1">
      <c r="A25" s="16">
        <v>20.0</v>
      </c>
      <c r="B25" s="17">
        <v>591.13</v>
      </c>
      <c r="C25" s="17" t="s">
        <v>15</v>
      </c>
      <c r="D25" s="17">
        <v>3000.0</v>
      </c>
      <c r="E25" s="17">
        <v>14338.0</v>
      </c>
      <c r="F25" s="22">
        <v>13507.82</v>
      </c>
      <c r="G25" s="17">
        <f t="shared" si="1"/>
        <v>830.18</v>
      </c>
      <c r="H25" s="18">
        <v>0.0</v>
      </c>
      <c r="I25" s="17">
        <v>356.17</v>
      </c>
      <c r="J25" s="17">
        <f t="shared" si="2"/>
        <v>210542.7721</v>
      </c>
      <c r="K25" s="19">
        <f t="shared" si="3"/>
        <v>0</v>
      </c>
    </row>
    <row r="26" ht="32.25" customHeight="1">
      <c r="A26" s="21">
        <v>21.0</v>
      </c>
      <c r="B26" s="17">
        <v>624.73</v>
      </c>
      <c r="C26" s="17" t="s">
        <v>15</v>
      </c>
      <c r="D26" s="17" t="s">
        <v>15</v>
      </c>
      <c r="E26" s="17">
        <v>13795.0</v>
      </c>
      <c r="F26" s="22">
        <v>12883.09</v>
      </c>
      <c r="G26" s="17">
        <f t="shared" si="1"/>
        <v>911.91</v>
      </c>
      <c r="H26" s="17">
        <v>5.71</v>
      </c>
      <c r="I26" s="17">
        <v>361.88</v>
      </c>
      <c r="J26" s="17">
        <f t="shared" si="2"/>
        <v>226077.2924</v>
      </c>
      <c r="K26" s="19">
        <f t="shared" si="3"/>
        <v>78769.45</v>
      </c>
    </row>
    <row r="27" ht="32.25" customHeight="1">
      <c r="A27" s="16">
        <v>22.0</v>
      </c>
      <c r="B27" s="17">
        <v>816.58</v>
      </c>
      <c r="C27" s="17" t="s">
        <v>15</v>
      </c>
      <c r="D27" s="17" t="s">
        <v>15</v>
      </c>
      <c r="E27" s="17">
        <v>12886.0</v>
      </c>
      <c r="F27" s="22">
        <v>12068.51</v>
      </c>
      <c r="G27" s="17">
        <f t="shared" si="1"/>
        <v>817.49</v>
      </c>
      <c r="H27" s="17">
        <v>7.15</v>
      </c>
      <c r="I27" s="17">
        <v>369.03</v>
      </c>
      <c r="J27" s="17">
        <f t="shared" si="2"/>
        <v>301342.5174</v>
      </c>
      <c r="K27" s="19">
        <f t="shared" si="3"/>
        <v>92134.9</v>
      </c>
    </row>
    <row r="28" ht="32.25" customHeight="1">
      <c r="A28" s="21">
        <v>23.0</v>
      </c>
      <c r="B28" s="17">
        <v>278.87</v>
      </c>
      <c r="C28" s="17" t="s">
        <v>15</v>
      </c>
      <c r="D28" s="17" t="s">
        <v>15</v>
      </c>
      <c r="E28" s="17">
        <v>12661.0</v>
      </c>
      <c r="F28" s="22">
        <v>11787.64</v>
      </c>
      <c r="G28" s="17">
        <f t="shared" si="1"/>
        <v>873.36</v>
      </c>
      <c r="H28" s="17">
        <v>7.83</v>
      </c>
      <c r="I28" s="17">
        <v>376.86</v>
      </c>
      <c r="J28" s="17">
        <f t="shared" si="2"/>
        <v>105094.9482</v>
      </c>
      <c r="K28" s="19">
        <f t="shared" si="3"/>
        <v>99135.63</v>
      </c>
    </row>
    <row r="29" ht="32.25" customHeight="1">
      <c r="A29" s="16">
        <v>24.0</v>
      </c>
      <c r="B29" s="17">
        <v>2019.86</v>
      </c>
      <c r="C29" s="17">
        <v>5.0</v>
      </c>
      <c r="D29" s="17" t="s">
        <v>15</v>
      </c>
      <c r="E29" s="17">
        <v>10574.0</v>
      </c>
      <c r="F29" s="22">
        <v>9772.78</v>
      </c>
      <c r="G29" s="17">
        <f t="shared" si="1"/>
        <v>801.22</v>
      </c>
      <c r="H29" s="17">
        <v>3.62</v>
      </c>
      <c r="I29" s="17">
        <v>380.48</v>
      </c>
      <c r="J29" s="17">
        <f t="shared" si="2"/>
        <v>768516.3328</v>
      </c>
      <c r="K29" s="19">
        <f t="shared" si="3"/>
        <v>38277.88</v>
      </c>
    </row>
    <row r="30" ht="32.25" customHeight="1">
      <c r="A30" s="16">
        <v>25.0</v>
      </c>
      <c r="B30" s="17">
        <v>328.02</v>
      </c>
      <c r="C30" s="17" t="s">
        <v>15</v>
      </c>
      <c r="D30" s="17" t="s">
        <v>15</v>
      </c>
      <c r="E30" s="17">
        <v>10221.0</v>
      </c>
      <c r="F30" s="22">
        <v>9444.76</v>
      </c>
      <c r="G30" s="17">
        <f t="shared" si="1"/>
        <v>776.24</v>
      </c>
      <c r="H30" s="17">
        <v>4.8</v>
      </c>
      <c r="I30" s="17">
        <v>385.37</v>
      </c>
      <c r="J30" s="17">
        <f t="shared" si="2"/>
        <v>126409.0674</v>
      </c>
      <c r="K30" s="19">
        <f t="shared" si="3"/>
        <v>49060.8</v>
      </c>
    </row>
    <row r="31" ht="32.25" customHeight="1">
      <c r="A31" s="21">
        <v>26.0</v>
      </c>
      <c r="B31" s="17">
        <v>1513.38</v>
      </c>
      <c r="C31" s="17" t="s">
        <v>15</v>
      </c>
      <c r="D31" s="17" t="s">
        <v>15</v>
      </c>
      <c r="E31" s="17">
        <v>8727.0</v>
      </c>
      <c r="F31" s="22">
        <v>7931.38</v>
      </c>
      <c r="G31" s="17">
        <f t="shared" si="1"/>
        <v>795.62</v>
      </c>
      <c r="H31" s="18">
        <v>0.0</v>
      </c>
      <c r="I31" s="17">
        <v>385.37</v>
      </c>
      <c r="J31" s="17">
        <f t="shared" si="2"/>
        <v>583211.2506</v>
      </c>
      <c r="K31" s="19">
        <f t="shared" si="3"/>
        <v>0</v>
      </c>
    </row>
    <row r="32" ht="32.25" customHeight="1">
      <c r="A32" s="16">
        <v>27.0</v>
      </c>
      <c r="B32" s="17">
        <v>537.6</v>
      </c>
      <c r="C32" s="17" t="s">
        <v>15</v>
      </c>
      <c r="D32" s="17" t="s">
        <v>15</v>
      </c>
      <c r="E32" s="17">
        <v>8131.0</v>
      </c>
      <c r="F32" s="22">
        <v>7393.78</v>
      </c>
      <c r="G32" s="17">
        <f t="shared" si="1"/>
        <v>737.22</v>
      </c>
      <c r="H32" s="18">
        <v>0.0</v>
      </c>
      <c r="I32" s="17">
        <v>385.37</v>
      </c>
      <c r="J32" s="17">
        <f t="shared" si="2"/>
        <v>207174.912</v>
      </c>
      <c r="K32" s="19">
        <f t="shared" si="3"/>
        <v>0</v>
      </c>
    </row>
    <row r="33" ht="32.25" customHeight="1">
      <c r="A33" s="21">
        <v>28.0</v>
      </c>
      <c r="B33" s="17">
        <v>214.86</v>
      </c>
      <c r="C33" s="17" t="s">
        <v>15</v>
      </c>
      <c r="D33" s="17" t="s">
        <v>15</v>
      </c>
      <c r="E33" s="17">
        <v>7911.0</v>
      </c>
      <c r="F33" s="22">
        <v>7178.92</v>
      </c>
      <c r="G33" s="17">
        <f t="shared" si="1"/>
        <v>732.08</v>
      </c>
      <c r="H33" s="18">
        <v>3.37</v>
      </c>
      <c r="I33" s="17">
        <v>388.74</v>
      </c>
      <c r="J33" s="17">
        <f t="shared" si="2"/>
        <v>83524.6764</v>
      </c>
      <c r="K33" s="19">
        <f t="shared" si="3"/>
        <v>26660.07</v>
      </c>
    </row>
    <row r="34" ht="32.25" customHeight="1">
      <c r="A34" s="16">
        <v>29.0</v>
      </c>
      <c r="B34" s="17">
        <v>366.86</v>
      </c>
      <c r="C34" s="17" t="s">
        <v>15</v>
      </c>
      <c r="D34" s="17" t="s">
        <v>15</v>
      </c>
      <c r="E34" s="17">
        <v>7546.0</v>
      </c>
      <c r="F34" s="22">
        <v>6812.06</v>
      </c>
      <c r="G34" s="17">
        <f t="shared" si="1"/>
        <v>733.94</v>
      </c>
      <c r="H34" s="17">
        <v>1.55</v>
      </c>
      <c r="I34" s="17">
        <v>390.29</v>
      </c>
      <c r="J34" s="17">
        <f t="shared" si="2"/>
        <v>143181.7894</v>
      </c>
      <c r="K34" s="19">
        <f t="shared" si="3"/>
        <v>11696.3</v>
      </c>
    </row>
    <row r="35" ht="32.25" customHeight="1">
      <c r="A35" s="21">
        <v>30.0</v>
      </c>
      <c r="B35" s="17">
        <v>908.21</v>
      </c>
      <c r="C35" s="17" t="s">
        <v>15</v>
      </c>
      <c r="D35" s="17" t="s">
        <v>15</v>
      </c>
      <c r="E35" s="17">
        <v>6656.0</v>
      </c>
      <c r="F35" s="22">
        <v>5903.85</v>
      </c>
      <c r="G35" s="17">
        <f t="shared" si="1"/>
        <v>752.15</v>
      </c>
      <c r="H35" s="17">
        <v>2.24</v>
      </c>
      <c r="I35" s="17">
        <v>392.53</v>
      </c>
      <c r="J35" s="17">
        <f t="shared" si="2"/>
        <v>356499.6713</v>
      </c>
      <c r="K35" s="19">
        <f t="shared" si="3"/>
        <v>14909.44</v>
      </c>
    </row>
    <row r="36" ht="32.25" customHeight="1">
      <c r="A36" s="16">
        <v>31.0</v>
      </c>
      <c r="B36" s="18">
        <v>1224.5</v>
      </c>
      <c r="C36" s="17" t="s">
        <v>15</v>
      </c>
      <c r="D36" s="17" t="s">
        <v>15</v>
      </c>
      <c r="E36" s="18">
        <v>5361.0</v>
      </c>
      <c r="F36" s="25">
        <v>4739.35</v>
      </c>
      <c r="G36" s="17">
        <f t="shared" si="1"/>
        <v>621.65</v>
      </c>
      <c r="H36" s="18">
        <v>-0.66</v>
      </c>
      <c r="I36" s="18">
        <v>394.95</v>
      </c>
      <c r="J36" s="17">
        <f t="shared" si="2"/>
        <v>483616.275</v>
      </c>
      <c r="K36" s="19">
        <f t="shared" si="3"/>
        <v>-3538.26</v>
      </c>
    </row>
    <row r="37" ht="32.25" customHeight="1">
      <c r="A37" s="26" t="s">
        <v>16</v>
      </c>
      <c r="B37" s="27" t="s">
        <v>15</v>
      </c>
      <c r="C37" s="28"/>
      <c r="D37" s="28"/>
      <c r="E37" s="28"/>
      <c r="F37" s="29"/>
      <c r="G37" s="28"/>
      <c r="H37" s="28"/>
      <c r="I37" s="28"/>
      <c r="J37" s="28"/>
      <c r="K37" s="30"/>
    </row>
    <row r="38" ht="32.25" customHeight="1">
      <c r="A38" s="31" t="s">
        <v>17</v>
      </c>
      <c r="B38" s="32">
        <f>sum(B6:B37)</f>
        <v>34873.59</v>
      </c>
      <c r="C38" s="32">
        <f t="shared" ref="C38:D38" si="4">sum(C6:C36)</f>
        <v>17</v>
      </c>
      <c r="D38" s="32">
        <f t="shared" si="4"/>
        <v>35000</v>
      </c>
      <c r="E38" s="32" t="s">
        <v>15</v>
      </c>
      <c r="F38" s="32" t="s">
        <v>15</v>
      </c>
      <c r="G38" s="33" t="s">
        <v>15</v>
      </c>
      <c r="H38" s="34"/>
      <c r="I38" s="34"/>
      <c r="J38" s="35">
        <f>sum(J6:J37)</f>
        <v>11821474.95</v>
      </c>
      <c r="K38" s="30">
        <f>sum(K6:K36)</f>
        <v>905119.95</v>
      </c>
    </row>
    <row r="39" ht="32.25" customHeight="1">
      <c r="A39" s="36"/>
      <c r="B39" s="37">
        <f>sum(B38-C38)</f>
        <v>34856.59</v>
      </c>
      <c r="C39" s="38"/>
      <c r="D39" s="39"/>
      <c r="E39" s="40"/>
      <c r="F39" s="40"/>
      <c r="G39" s="41"/>
      <c r="H39" s="42"/>
      <c r="I39" s="42"/>
      <c r="J39" s="43"/>
      <c r="K39" s="30"/>
    </row>
    <row r="40" ht="32.25" customHeight="1">
      <c r="A40" s="44"/>
      <c r="B40" s="44"/>
      <c r="C40" s="44"/>
      <c r="K40" s="24"/>
    </row>
    <row r="41" ht="32.25" customHeight="1">
      <c r="K41" s="24"/>
    </row>
    <row r="42" ht="39.0" customHeight="1">
      <c r="A42" s="45" t="s">
        <v>18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7"/>
    </row>
    <row r="43" ht="39.0" customHeight="1">
      <c r="A43" s="48" t="s">
        <v>19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49"/>
    </row>
    <row r="44" ht="44.25" customHeight="1">
      <c r="A44" s="50" t="s">
        <v>4</v>
      </c>
      <c r="B44" s="51" t="s">
        <v>5</v>
      </c>
      <c r="C44" s="51" t="s">
        <v>6</v>
      </c>
      <c r="D44" s="52" t="s">
        <v>7</v>
      </c>
      <c r="E44" s="53" t="s">
        <v>8</v>
      </c>
      <c r="F44" s="53" t="s">
        <v>9</v>
      </c>
      <c r="G44" s="52" t="s">
        <v>10</v>
      </c>
      <c r="H44" s="52" t="s">
        <v>11</v>
      </c>
      <c r="I44" s="52" t="s">
        <v>12</v>
      </c>
      <c r="J44" s="53" t="s">
        <v>13</v>
      </c>
      <c r="K44" s="54" t="s">
        <v>14</v>
      </c>
      <c r="L44" s="55" t="s">
        <v>20</v>
      </c>
    </row>
    <row r="45" ht="32.25" customHeight="1">
      <c r="A45" s="56" t="str">
        <f>ROMAN(1)</f>
        <v>I</v>
      </c>
      <c r="B45" s="16">
        <v>710.42</v>
      </c>
      <c r="C45" s="17" t="s">
        <v>15</v>
      </c>
      <c r="D45" s="17" t="s">
        <v>15</v>
      </c>
      <c r="E45" s="17">
        <v>3223.0</v>
      </c>
      <c r="F45" s="17">
        <v>3349.0</v>
      </c>
      <c r="G45" s="17">
        <f t="shared" ref="G45:G75" si="5">sum(E45-F45)</f>
        <v>-126</v>
      </c>
      <c r="H45" s="18">
        <v>0.0</v>
      </c>
      <c r="I45" s="17">
        <v>301.29</v>
      </c>
      <c r="J45" s="17">
        <f t="shared" ref="J45:J75" si="6">SUM(B45*I45)</f>
        <v>214042.4418</v>
      </c>
      <c r="K45" s="57">
        <f t="shared" ref="K45:K75" si="7">SUM(E45*H45)</f>
        <v>0</v>
      </c>
      <c r="L45" s="58">
        <v>6800.0</v>
      </c>
    </row>
    <row r="46" ht="32.25" customHeight="1">
      <c r="A46" s="59">
        <v>2.0</v>
      </c>
      <c r="B46" s="21">
        <v>737.65</v>
      </c>
      <c r="C46" s="17" t="s">
        <v>15</v>
      </c>
      <c r="D46" s="17" t="s">
        <v>15</v>
      </c>
      <c r="E46" s="17">
        <v>2453.0</v>
      </c>
      <c r="F46" s="22">
        <v>2611.0</v>
      </c>
      <c r="G46" s="17">
        <f t="shared" si="5"/>
        <v>-158</v>
      </c>
      <c r="H46" s="18">
        <v>0.0</v>
      </c>
      <c r="I46" s="17">
        <v>301.29</v>
      </c>
      <c r="J46" s="17">
        <f t="shared" si="6"/>
        <v>222246.5685</v>
      </c>
      <c r="K46" s="19">
        <f t="shared" si="7"/>
        <v>0</v>
      </c>
      <c r="L46" s="58" t="s">
        <v>15</v>
      </c>
    </row>
    <row r="47" ht="32.25" customHeight="1">
      <c r="A47" s="56">
        <v>3.0</v>
      </c>
      <c r="B47" s="16">
        <v>643.73</v>
      </c>
      <c r="C47" s="17" t="s">
        <v>15</v>
      </c>
      <c r="D47" s="17" t="s">
        <v>15</v>
      </c>
      <c r="E47" s="17">
        <v>1805.0</v>
      </c>
      <c r="F47" s="17">
        <v>1968.0</v>
      </c>
      <c r="G47" s="17">
        <f t="shared" si="5"/>
        <v>-163</v>
      </c>
      <c r="H47" s="18">
        <v>0.0</v>
      </c>
      <c r="I47" s="17">
        <v>301.29</v>
      </c>
      <c r="J47" s="17">
        <f t="shared" si="6"/>
        <v>193949.4117</v>
      </c>
      <c r="K47" s="19">
        <f t="shared" si="7"/>
        <v>0</v>
      </c>
      <c r="L47" s="58" t="s">
        <v>15</v>
      </c>
    </row>
    <row r="48" ht="32.25" customHeight="1">
      <c r="A48" s="59">
        <v>4.0</v>
      </c>
      <c r="B48" s="21">
        <v>779.08</v>
      </c>
      <c r="C48" s="17" t="s">
        <v>15</v>
      </c>
      <c r="D48" s="17">
        <v>5000.0</v>
      </c>
      <c r="E48" s="17">
        <v>5991.0</v>
      </c>
      <c r="F48" s="22">
        <v>6190.0</v>
      </c>
      <c r="G48" s="17">
        <f t="shared" si="5"/>
        <v>-199</v>
      </c>
      <c r="H48" s="17">
        <v>1.97</v>
      </c>
      <c r="I48" s="17">
        <v>299.32</v>
      </c>
      <c r="J48" s="17">
        <f t="shared" si="6"/>
        <v>233194.2256</v>
      </c>
      <c r="K48" s="19">
        <f t="shared" si="7"/>
        <v>11802.27</v>
      </c>
      <c r="L48" s="58">
        <v>19640.0</v>
      </c>
    </row>
    <row r="49" ht="32.25" customHeight="1">
      <c r="A49" s="56">
        <v>5.0</v>
      </c>
      <c r="B49" s="16">
        <v>1063.64</v>
      </c>
      <c r="C49" s="17" t="s">
        <v>15</v>
      </c>
      <c r="D49" s="17" t="s">
        <v>15</v>
      </c>
      <c r="E49" s="17">
        <v>4975.0</v>
      </c>
      <c r="F49" s="17">
        <v>5126.0</v>
      </c>
      <c r="G49" s="17">
        <f t="shared" si="5"/>
        <v>-151</v>
      </c>
      <c r="H49" s="18">
        <v>0.0</v>
      </c>
      <c r="I49" s="17">
        <v>299.32</v>
      </c>
      <c r="J49" s="17">
        <f t="shared" si="6"/>
        <v>318368.7248</v>
      </c>
      <c r="K49" s="19">
        <f t="shared" si="7"/>
        <v>0</v>
      </c>
      <c r="L49" s="58">
        <v>3920.0</v>
      </c>
    </row>
    <row r="50" ht="32.25" customHeight="1">
      <c r="A50" s="59">
        <v>6.0</v>
      </c>
      <c r="B50" s="21">
        <v>1491.62</v>
      </c>
      <c r="C50" s="17" t="s">
        <v>15</v>
      </c>
      <c r="D50" s="17" t="s">
        <v>15</v>
      </c>
      <c r="E50" s="60">
        <v>3458.0</v>
      </c>
      <c r="F50" s="22">
        <v>3634.0</v>
      </c>
      <c r="G50" s="17">
        <f t="shared" si="5"/>
        <v>-176</v>
      </c>
      <c r="H50" s="18">
        <v>0.0</v>
      </c>
      <c r="I50" s="17">
        <v>299.32</v>
      </c>
      <c r="J50" s="17">
        <f t="shared" si="6"/>
        <v>446471.6984</v>
      </c>
      <c r="K50" s="19">
        <f t="shared" si="7"/>
        <v>0</v>
      </c>
      <c r="L50" s="58" t="s">
        <v>15</v>
      </c>
    </row>
    <row r="51" ht="32.25" customHeight="1">
      <c r="A51" s="56">
        <v>7.0</v>
      </c>
      <c r="B51" s="16">
        <v>1071.99</v>
      </c>
      <c r="C51" s="17" t="s">
        <v>15</v>
      </c>
      <c r="D51" s="17" t="s">
        <v>15</v>
      </c>
      <c r="E51" s="17">
        <v>2350.0</v>
      </c>
      <c r="F51" s="17">
        <v>2562.0</v>
      </c>
      <c r="G51" s="17">
        <f t="shared" si="5"/>
        <v>-212</v>
      </c>
      <c r="H51" s="18">
        <v>0.0</v>
      </c>
      <c r="I51" s="17">
        <v>299.32</v>
      </c>
      <c r="J51" s="17">
        <f t="shared" si="6"/>
        <v>320868.0468</v>
      </c>
      <c r="K51" s="19">
        <f t="shared" si="7"/>
        <v>0</v>
      </c>
      <c r="L51" s="58">
        <v>3400.0</v>
      </c>
    </row>
    <row r="52" ht="32.25" customHeight="1">
      <c r="A52" s="59">
        <v>8.0</v>
      </c>
      <c r="B52" s="21">
        <v>761.11</v>
      </c>
      <c r="C52" s="17" t="s">
        <v>15</v>
      </c>
      <c r="D52" s="17">
        <v>1000.0</v>
      </c>
      <c r="E52" s="22">
        <v>2566.0</v>
      </c>
      <c r="F52" s="22">
        <v>2801.0</v>
      </c>
      <c r="G52" s="17">
        <f t="shared" si="5"/>
        <v>-235</v>
      </c>
      <c r="H52" s="18">
        <v>0.0</v>
      </c>
      <c r="I52" s="17">
        <v>299.32</v>
      </c>
      <c r="J52" s="17">
        <f t="shared" si="6"/>
        <v>227815.4452</v>
      </c>
      <c r="K52" s="19">
        <f t="shared" si="7"/>
        <v>0</v>
      </c>
      <c r="L52" s="58" t="s">
        <v>15</v>
      </c>
    </row>
    <row r="53" ht="32.25" customHeight="1">
      <c r="A53" s="56">
        <v>9.0</v>
      </c>
      <c r="B53" s="16">
        <v>795.38</v>
      </c>
      <c r="C53" s="17" t="s">
        <v>15</v>
      </c>
      <c r="D53" s="17" t="s">
        <v>15</v>
      </c>
      <c r="E53" s="17">
        <v>1779.0</v>
      </c>
      <c r="F53" s="17">
        <v>2004.0</v>
      </c>
      <c r="G53" s="17">
        <f t="shared" si="5"/>
        <v>-225</v>
      </c>
      <c r="H53" s="18">
        <v>0.0</v>
      </c>
      <c r="I53" s="17">
        <v>299.32</v>
      </c>
      <c r="J53" s="17">
        <f t="shared" si="6"/>
        <v>238073.1416</v>
      </c>
      <c r="K53" s="19">
        <f t="shared" si="7"/>
        <v>0</v>
      </c>
      <c r="L53" s="58">
        <v>1360.0</v>
      </c>
    </row>
    <row r="54" ht="32.25" customHeight="1">
      <c r="A54" s="59">
        <v>10.0</v>
      </c>
      <c r="B54" s="21">
        <v>723.57</v>
      </c>
      <c r="C54" s="17" t="s">
        <v>15</v>
      </c>
      <c r="D54" s="17" t="s">
        <v>15</v>
      </c>
      <c r="E54" s="22">
        <v>1040.0</v>
      </c>
      <c r="F54" s="22">
        <v>1280.0</v>
      </c>
      <c r="G54" s="17">
        <f t="shared" si="5"/>
        <v>-240</v>
      </c>
      <c r="H54" s="18">
        <v>0.0</v>
      </c>
      <c r="I54" s="17">
        <v>299.32</v>
      </c>
      <c r="J54" s="17">
        <f t="shared" si="6"/>
        <v>216578.9724</v>
      </c>
      <c r="K54" s="19">
        <f t="shared" si="7"/>
        <v>0</v>
      </c>
      <c r="L54" s="58" t="s">
        <v>15</v>
      </c>
    </row>
    <row r="55" ht="32.25" customHeight="1">
      <c r="A55" s="56">
        <v>11.0</v>
      </c>
      <c r="B55" s="16">
        <v>896.49</v>
      </c>
      <c r="C55" s="17" t="s">
        <v>15</v>
      </c>
      <c r="D55" s="17">
        <v>5000.0</v>
      </c>
      <c r="E55" s="17">
        <v>5090.0</v>
      </c>
      <c r="F55" s="17">
        <v>5384.0</v>
      </c>
      <c r="G55" s="17">
        <f t="shared" si="5"/>
        <v>-294</v>
      </c>
      <c r="H55" s="17">
        <v>13.18</v>
      </c>
      <c r="I55" s="17">
        <v>312.49</v>
      </c>
      <c r="J55" s="17">
        <f t="shared" si="6"/>
        <v>280144.1601</v>
      </c>
      <c r="K55" s="19">
        <f t="shared" si="7"/>
        <v>67086.2</v>
      </c>
      <c r="L55" s="58" t="s">
        <v>15</v>
      </c>
    </row>
    <row r="56" ht="32.25" customHeight="1">
      <c r="A56" s="59">
        <v>12.0</v>
      </c>
      <c r="B56" s="21">
        <v>714.54</v>
      </c>
      <c r="C56" s="17">
        <v>14.0</v>
      </c>
      <c r="D56" s="17" t="s">
        <v>15</v>
      </c>
      <c r="E56" s="22">
        <v>4304.0</v>
      </c>
      <c r="F56" s="22">
        <v>4683.0</v>
      </c>
      <c r="G56" s="17">
        <f t="shared" si="5"/>
        <v>-379</v>
      </c>
      <c r="H56" s="18">
        <v>0.0</v>
      </c>
      <c r="I56" s="17">
        <v>312.49</v>
      </c>
      <c r="J56" s="17">
        <f t="shared" si="6"/>
        <v>223286.6046</v>
      </c>
      <c r="K56" s="19">
        <f t="shared" si="7"/>
        <v>0</v>
      </c>
      <c r="L56" s="58">
        <v>920.0</v>
      </c>
    </row>
    <row r="57" ht="32.25" customHeight="1">
      <c r="A57" s="56">
        <v>13.0</v>
      </c>
      <c r="B57" s="16">
        <v>792.65</v>
      </c>
      <c r="C57" s="17" t="s">
        <v>15</v>
      </c>
      <c r="D57" s="17" t="s">
        <v>15</v>
      </c>
      <c r="E57" s="17">
        <v>3592.0</v>
      </c>
      <c r="F57" s="17">
        <v>3891.0</v>
      </c>
      <c r="G57" s="17">
        <f t="shared" si="5"/>
        <v>-299</v>
      </c>
      <c r="H57" s="18">
        <v>0.0</v>
      </c>
      <c r="I57" s="17">
        <v>312.49</v>
      </c>
      <c r="J57" s="17">
        <f t="shared" si="6"/>
        <v>247695.1985</v>
      </c>
      <c r="K57" s="19">
        <f t="shared" si="7"/>
        <v>0</v>
      </c>
      <c r="L57" s="58" t="s">
        <v>15</v>
      </c>
    </row>
    <row r="58" ht="25.5" customHeight="1">
      <c r="A58" s="59">
        <v>14.0</v>
      </c>
      <c r="B58" s="21">
        <v>589.37</v>
      </c>
      <c r="C58" s="17" t="s">
        <v>15</v>
      </c>
      <c r="D58" s="17" t="s">
        <v>15</v>
      </c>
      <c r="E58" s="22">
        <v>3053.0</v>
      </c>
      <c r="F58" s="22">
        <v>3301.0</v>
      </c>
      <c r="G58" s="17">
        <f t="shared" si="5"/>
        <v>-248</v>
      </c>
      <c r="H58" s="18">
        <v>0.0</v>
      </c>
      <c r="I58" s="17">
        <v>312.49</v>
      </c>
      <c r="J58" s="17">
        <f t="shared" si="6"/>
        <v>184172.2313</v>
      </c>
      <c r="K58" s="19">
        <f t="shared" si="7"/>
        <v>0</v>
      </c>
      <c r="L58" s="58" t="s">
        <v>15</v>
      </c>
    </row>
    <row r="59" ht="25.5" customHeight="1">
      <c r="A59" s="56">
        <v>15.0</v>
      </c>
      <c r="B59" s="16">
        <v>883.83</v>
      </c>
      <c r="C59" s="17" t="s">
        <v>15</v>
      </c>
      <c r="D59" s="17">
        <v>5000.0</v>
      </c>
      <c r="E59" s="17">
        <v>7128.0</v>
      </c>
      <c r="F59" s="17">
        <v>7417.0</v>
      </c>
      <c r="G59" s="17">
        <f t="shared" si="5"/>
        <v>-289</v>
      </c>
      <c r="H59" s="18">
        <v>0.0</v>
      </c>
      <c r="I59" s="17">
        <v>312.49</v>
      </c>
      <c r="J59" s="17">
        <f t="shared" si="6"/>
        <v>276188.0367</v>
      </c>
      <c r="K59" s="19">
        <f t="shared" si="7"/>
        <v>0</v>
      </c>
      <c r="L59" s="58">
        <v>680.0</v>
      </c>
    </row>
    <row r="60" ht="38.25" customHeight="1">
      <c r="A60" s="56">
        <v>16.0</v>
      </c>
      <c r="B60" s="16">
        <v>1506.21</v>
      </c>
      <c r="C60" s="17" t="s">
        <v>15</v>
      </c>
      <c r="D60" s="17"/>
      <c r="E60" s="17">
        <v>5592.0</v>
      </c>
      <c r="F60" s="17">
        <v>5911.65</v>
      </c>
      <c r="G60" s="17">
        <f t="shared" si="5"/>
        <v>-319.65</v>
      </c>
      <c r="H60" s="18">
        <v>0.0</v>
      </c>
      <c r="I60" s="17">
        <v>312.49</v>
      </c>
      <c r="J60" s="17">
        <f t="shared" si="6"/>
        <v>470675.5629</v>
      </c>
      <c r="K60" s="19">
        <f t="shared" si="7"/>
        <v>0</v>
      </c>
      <c r="L60" s="58" t="s">
        <v>15</v>
      </c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</row>
    <row r="61" ht="28.5" customHeight="1">
      <c r="A61" s="59">
        <v>17.0</v>
      </c>
      <c r="B61" s="16">
        <v>1235.91</v>
      </c>
      <c r="C61" s="17" t="s">
        <v>15</v>
      </c>
      <c r="D61" s="17">
        <v>5000.0</v>
      </c>
      <c r="E61" s="17">
        <v>9346.0</v>
      </c>
      <c r="F61" s="17">
        <v>9675.74</v>
      </c>
      <c r="G61" s="17">
        <f t="shared" si="5"/>
        <v>-329.74</v>
      </c>
      <c r="H61" s="18">
        <v>0.0</v>
      </c>
      <c r="I61" s="17">
        <v>312.49</v>
      </c>
      <c r="J61" s="17">
        <f t="shared" si="6"/>
        <v>386209.5159</v>
      </c>
      <c r="K61" s="19">
        <f t="shared" si="7"/>
        <v>0</v>
      </c>
      <c r="L61" s="58">
        <v>10100.0</v>
      </c>
    </row>
    <row r="62" ht="29.25" customHeight="1">
      <c r="A62" s="56">
        <v>18.0</v>
      </c>
      <c r="B62" s="16">
        <v>640.05</v>
      </c>
      <c r="C62" s="17"/>
      <c r="D62" s="17"/>
      <c r="E62" s="17">
        <v>8672.0</v>
      </c>
      <c r="F62" s="17">
        <v>9035.69</v>
      </c>
      <c r="G62" s="17">
        <f t="shared" si="5"/>
        <v>-363.69</v>
      </c>
      <c r="H62" s="17">
        <v>5.48</v>
      </c>
      <c r="I62" s="17">
        <v>317.97</v>
      </c>
      <c r="J62" s="17">
        <f t="shared" si="6"/>
        <v>203516.6985</v>
      </c>
      <c r="K62" s="19">
        <f t="shared" si="7"/>
        <v>47522.56</v>
      </c>
      <c r="L62" s="58">
        <v>3400.0</v>
      </c>
    </row>
    <row r="63" ht="24.75" customHeight="1">
      <c r="A63" s="59">
        <v>19.0</v>
      </c>
      <c r="B63" s="16">
        <v>886.64</v>
      </c>
      <c r="C63" s="17"/>
      <c r="D63" s="17"/>
      <c r="E63" s="17">
        <v>7796.0</v>
      </c>
      <c r="F63" s="17">
        <v>8149.05</v>
      </c>
      <c r="G63" s="17">
        <f t="shared" si="5"/>
        <v>-353.05</v>
      </c>
      <c r="H63" s="18">
        <v>0.0</v>
      </c>
      <c r="I63" s="17">
        <v>317.97</v>
      </c>
      <c r="J63" s="17">
        <f t="shared" si="6"/>
        <v>281924.9208</v>
      </c>
      <c r="K63" s="19">
        <f t="shared" si="7"/>
        <v>0</v>
      </c>
      <c r="L63" s="58">
        <v>19200.0</v>
      </c>
    </row>
    <row r="64" ht="29.25" customHeight="1">
      <c r="A64" s="56">
        <v>20.0</v>
      </c>
      <c r="B64" s="16">
        <v>973.39</v>
      </c>
      <c r="C64" s="17"/>
      <c r="D64" s="17"/>
      <c r="E64" s="17">
        <v>6791.0</v>
      </c>
      <c r="F64" s="17">
        <v>7175.66</v>
      </c>
      <c r="G64" s="17">
        <f t="shared" si="5"/>
        <v>-384.66</v>
      </c>
      <c r="H64" s="18">
        <v>0.0</v>
      </c>
      <c r="I64" s="17">
        <v>317.97</v>
      </c>
      <c r="J64" s="17">
        <f t="shared" si="6"/>
        <v>309508.8183</v>
      </c>
      <c r="K64" s="19">
        <f t="shared" si="7"/>
        <v>0</v>
      </c>
      <c r="L64" s="58" t="s">
        <v>15</v>
      </c>
    </row>
    <row r="65" ht="22.5" customHeight="1">
      <c r="A65" s="59">
        <v>21.0</v>
      </c>
      <c r="B65" s="16">
        <v>6194.82</v>
      </c>
      <c r="C65" s="17">
        <v>408.05</v>
      </c>
      <c r="D65" s="17"/>
      <c r="E65" s="17">
        <v>898.0</v>
      </c>
      <c r="F65" s="17">
        <v>1388.89</v>
      </c>
      <c r="G65" s="17">
        <f t="shared" si="5"/>
        <v>-490.89</v>
      </c>
      <c r="H65" s="17">
        <v>-0.35</v>
      </c>
      <c r="I65" s="17">
        <v>317.62</v>
      </c>
      <c r="J65" s="17">
        <f t="shared" si="6"/>
        <v>1967598.728</v>
      </c>
      <c r="K65" s="19">
        <f t="shared" si="7"/>
        <v>-314.3</v>
      </c>
      <c r="L65" s="58">
        <v>920.0</v>
      </c>
    </row>
    <row r="66" ht="24.0" customHeight="1">
      <c r="A66" s="56">
        <v>22.0</v>
      </c>
      <c r="B66" s="16">
        <v>1477.72</v>
      </c>
      <c r="C66" s="17"/>
      <c r="D66" s="17">
        <v>10000.0</v>
      </c>
      <c r="E66" s="17">
        <v>9471.0</v>
      </c>
      <c r="F66" s="17">
        <v>9911.17</v>
      </c>
      <c r="G66" s="17">
        <f t="shared" si="5"/>
        <v>-440.17</v>
      </c>
      <c r="H66" s="17">
        <v>4.93</v>
      </c>
      <c r="I66" s="17">
        <v>322.55</v>
      </c>
      <c r="J66" s="17">
        <f t="shared" si="6"/>
        <v>476638.586</v>
      </c>
      <c r="K66" s="19">
        <f t="shared" si="7"/>
        <v>46692.03</v>
      </c>
      <c r="L66" s="58" t="s">
        <v>15</v>
      </c>
    </row>
    <row r="67" ht="26.25" customHeight="1">
      <c r="A67" s="59">
        <v>23.0</v>
      </c>
      <c r="B67" s="16">
        <v>3940.21</v>
      </c>
      <c r="C67" s="17"/>
      <c r="D67" s="17"/>
      <c r="E67" s="17">
        <v>5477.0</v>
      </c>
      <c r="F67" s="17">
        <v>5970.96</v>
      </c>
      <c r="G67" s="17">
        <f t="shared" si="5"/>
        <v>-493.96</v>
      </c>
      <c r="H67" s="17">
        <v>6.39</v>
      </c>
      <c r="I67" s="17">
        <v>328.94</v>
      </c>
      <c r="J67" s="17">
        <f t="shared" si="6"/>
        <v>1296092.677</v>
      </c>
      <c r="K67" s="19">
        <f t="shared" si="7"/>
        <v>34998.03</v>
      </c>
      <c r="L67" s="58" t="s">
        <v>15</v>
      </c>
    </row>
    <row r="68" ht="28.5" customHeight="1">
      <c r="A68" s="56">
        <v>24.0</v>
      </c>
      <c r="B68" s="16">
        <v>12239.45</v>
      </c>
      <c r="C68" s="17">
        <v>15.0</v>
      </c>
      <c r="D68" s="17">
        <v>10000.0</v>
      </c>
      <c r="E68" s="17">
        <v>3162.0</v>
      </c>
      <c r="F68" s="17">
        <v>3746.51</v>
      </c>
      <c r="G68" s="17">
        <f t="shared" si="5"/>
        <v>-584.51</v>
      </c>
      <c r="H68" s="17">
        <v>4.4</v>
      </c>
      <c r="I68" s="17">
        <v>333.34</v>
      </c>
      <c r="J68" s="17">
        <f t="shared" si="6"/>
        <v>4079898.263</v>
      </c>
      <c r="K68" s="19">
        <f t="shared" si="7"/>
        <v>13912.8</v>
      </c>
      <c r="L68" s="58" t="s">
        <v>15</v>
      </c>
      <c r="M68" s="62"/>
      <c r="N68" s="62"/>
      <c r="O68" s="62"/>
      <c r="P68" s="62"/>
      <c r="Q68" s="62"/>
      <c r="R68" s="62"/>
      <c r="S68" s="62"/>
      <c r="T68" s="62"/>
      <c r="U68" s="63"/>
      <c r="V68" s="62"/>
      <c r="W68" s="62"/>
      <c r="X68" s="62"/>
      <c r="Y68" s="64"/>
      <c r="Z68" s="64"/>
      <c r="AA68" s="62"/>
      <c r="AB68" s="62"/>
      <c r="AC68" s="62"/>
      <c r="AD68" s="62"/>
      <c r="AE68" s="62"/>
      <c r="AF68" s="65"/>
      <c r="AG68" s="66"/>
      <c r="AH68" s="66"/>
    </row>
    <row r="69" ht="31.5" customHeight="1">
      <c r="A69" s="56">
        <v>25.0</v>
      </c>
      <c r="B69" s="16">
        <v>3077.41</v>
      </c>
      <c r="C69" s="17"/>
      <c r="D69" s="17">
        <v>15000.0</v>
      </c>
      <c r="E69" s="17">
        <v>15055.0</v>
      </c>
      <c r="F69" s="17">
        <v>15669.1</v>
      </c>
      <c r="G69" s="17">
        <f t="shared" si="5"/>
        <v>-614.1</v>
      </c>
      <c r="H69" s="17">
        <v>3.66</v>
      </c>
      <c r="I69" s="17">
        <v>337.09</v>
      </c>
      <c r="J69" s="17">
        <f t="shared" si="6"/>
        <v>1037364.137</v>
      </c>
      <c r="K69" s="19">
        <f t="shared" si="7"/>
        <v>55101.3</v>
      </c>
      <c r="L69" s="58">
        <v>4000.0</v>
      </c>
    </row>
    <row r="70" ht="26.25" customHeight="1">
      <c r="A70" s="59">
        <v>26.0</v>
      </c>
      <c r="B70" s="16">
        <v>543.44</v>
      </c>
      <c r="C70" s="17"/>
      <c r="D70" s="17"/>
      <c r="E70" s="17">
        <v>14501.0</v>
      </c>
      <c r="F70" s="17">
        <v>15124.66</v>
      </c>
      <c r="G70" s="17">
        <f t="shared" si="5"/>
        <v>-623.66</v>
      </c>
      <c r="H70" s="18">
        <v>0.0</v>
      </c>
      <c r="I70" s="17">
        <v>337.09</v>
      </c>
      <c r="J70" s="17">
        <f t="shared" si="6"/>
        <v>183188.1896</v>
      </c>
      <c r="K70" s="19">
        <f t="shared" si="7"/>
        <v>0</v>
      </c>
      <c r="L70" s="58" t="s">
        <v>15</v>
      </c>
    </row>
    <row r="71" ht="24.75" customHeight="1">
      <c r="A71" s="56">
        <v>27.0</v>
      </c>
      <c r="B71" s="16">
        <v>910.56</v>
      </c>
      <c r="C71" s="17"/>
      <c r="D71" s="17"/>
      <c r="E71" s="17">
        <v>13506.0</v>
      </c>
      <c r="F71" s="17">
        <v>14214.04</v>
      </c>
      <c r="G71" s="17">
        <f t="shared" si="5"/>
        <v>-708.04</v>
      </c>
      <c r="H71" s="18">
        <v>0.0</v>
      </c>
      <c r="I71" s="17">
        <v>337.09</v>
      </c>
      <c r="J71" s="17">
        <f t="shared" si="6"/>
        <v>306940.6704</v>
      </c>
      <c r="K71" s="19">
        <f t="shared" si="7"/>
        <v>0</v>
      </c>
      <c r="L71" s="58" t="s">
        <v>15</v>
      </c>
    </row>
    <row r="72" ht="23.25" customHeight="1">
      <c r="A72" s="59">
        <v>28.0</v>
      </c>
      <c r="B72" s="16">
        <v>588.8</v>
      </c>
      <c r="C72" s="17"/>
      <c r="D72" s="17"/>
      <c r="E72" s="17">
        <v>12978.0</v>
      </c>
      <c r="F72" s="17">
        <v>13625.24</v>
      </c>
      <c r="G72" s="17">
        <f t="shared" si="5"/>
        <v>-647.24</v>
      </c>
      <c r="H72" s="17">
        <v>-1.0</v>
      </c>
      <c r="I72" s="17">
        <v>336.09</v>
      </c>
      <c r="J72" s="17">
        <f t="shared" si="6"/>
        <v>197889.792</v>
      </c>
      <c r="K72" s="19">
        <f t="shared" si="7"/>
        <v>-12978</v>
      </c>
      <c r="L72" s="58">
        <v>1700.0</v>
      </c>
    </row>
    <row r="73" ht="22.5" customHeight="1">
      <c r="A73" s="56">
        <v>29.0</v>
      </c>
      <c r="B73" s="16">
        <v>657.0</v>
      </c>
      <c r="C73" s="17"/>
      <c r="D73" s="17"/>
      <c r="E73" s="17">
        <v>12311.0</v>
      </c>
      <c r="F73" s="17">
        <v>12968.24</v>
      </c>
      <c r="G73" s="17">
        <f t="shared" si="5"/>
        <v>-657.24</v>
      </c>
      <c r="H73" s="17">
        <v>1.63</v>
      </c>
      <c r="I73" s="17">
        <v>337.72</v>
      </c>
      <c r="J73" s="17">
        <f t="shared" si="6"/>
        <v>221882.04</v>
      </c>
      <c r="K73" s="19">
        <f t="shared" si="7"/>
        <v>20066.93</v>
      </c>
      <c r="L73" s="58"/>
    </row>
    <row r="74" ht="23.25" customHeight="1">
      <c r="A74" s="59">
        <v>30.0</v>
      </c>
      <c r="B74" s="16">
        <v>877.43</v>
      </c>
      <c r="C74" s="17"/>
      <c r="D74" s="17"/>
      <c r="E74" s="17">
        <v>11426.0</v>
      </c>
      <c r="F74" s="17">
        <v>12090.81</v>
      </c>
      <c r="G74" s="17">
        <f t="shared" si="5"/>
        <v>-664.81</v>
      </c>
      <c r="H74" s="17">
        <v>-0.37</v>
      </c>
      <c r="I74" s="17">
        <v>336.97</v>
      </c>
      <c r="J74" s="17">
        <f t="shared" si="6"/>
        <v>295667.5871</v>
      </c>
      <c r="K74" s="19">
        <f t="shared" si="7"/>
        <v>-4227.62</v>
      </c>
      <c r="L74" s="58"/>
    </row>
    <row r="75" ht="31.5" customHeight="1">
      <c r="A75" s="56">
        <v>31.0</v>
      </c>
      <c r="B75" s="67">
        <v>739.09</v>
      </c>
      <c r="C75" s="17"/>
      <c r="D75" s="17"/>
      <c r="E75" s="18">
        <v>10604.0</v>
      </c>
      <c r="F75" s="18">
        <v>11351.72</v>
      </c>
      <c r="G75" s="17">
        <f t="shared" si="5"/>
        <v>-747.72</v>
      </c>
      <c r="H75" s="17">
        <v>-0.12</v>
      </c>
      <c r="I75" s="18">
        <v>338.06</v>
      </c>
      <c r="J75" s="17">
        <f t="shared" si="6"/>
        <v>249856.7654</v>
      </c>
      <c r="K75" s="19">
        <f t="shared" si="7"/>
        <v>-1272.48</v>
      </c>
      <c r="L75" s="58"/>
    </row>
    <row r="76" ht="27.0" customHeight="1">
      <c r="A76" s="68"/>
      <c r="B76" s="69"/>
      <c r="C76" s="70"/>
      <c r="D76" s="70"/>
      <c r="E76" s="70"/>
      <c r="F76" s="70"/>
      <c r="G76" s="70"/>
      <c r="H76" s="70"/>
      <c r="I76" s="70"/>
      <c r="J76" s="70"/>
      <c r="K76" s="30"/>
      <c r="L76" s="71"/>
    </row>
    <row r="77" ht="36.0" customHeight="1">
      <c r="A77" s="68"/>
      <c r="B77" s="72">
        <f t="shared" ref="B77:C77" si="8">sum(B45:B75)</f>
        <v>49143.2</v>
      </c>
      <c r="C77" s="32">
        <f t="shared" si="8"/>
        <v>437.05</v>
      </c>
      <c r="D77" s="32">
        <f>sum(D45:D76)</f>
        <v>56000</v>
      </c>
      <c r="E77" s="32" t="s">
        <v>15</v>
      </c>
      <c r="F77" s="33" t="s">
        <v>15</v>
      </c>
      <c r="G77" s="73" t="s">
        <v>15</v>
      </c>
      <c r="H77" s="74"/>
      <c r="I77" s="74"/>
      <c r="J77" s="75">
        <f t="shared" ref="J77:K77" si="9">sum(J45:J75)</f>
        <v>15807947.86</v>
      </c>
      <c r="K77" s="30">
        <f t="shared" si="9"/>
        <v>278389.72</v>
      </c>
      <c r="L77" s="76">
        <f>sum(L45:L76)</f>
        <v>76040</v>
      </c>
    </row>
    <row r="78" ht="33.75" customHeight="1">
      <c r="A78" s="77"/>
      <c r="B78" s="78">
        <f>sum(B77-C77)</f>
        <v>48706.15</v>
      </c>
      <c r="C78" s="79"/>
      <c r="D78" s="80"/>
      <c r="E78" s="81"/>
      <c r="F78" s="81"/>
      <c r="G78" s="79"/>
      <c r="H78" s="82"/>
      <c r="I78" s="82"/>
      <c r="J78" s="83"/>
      <c r="K78" s="30"/>
      <c r="L78" s="84"/>
    </row>
    <row r="79" ht="15.75" customHeight="1">
      <c r="K79" s="24"/>
    </row>
    <row r="80" ht="15.75" customHeight="1">
      <c r="K80" s="24"/>
    </row>
    <row r="81" ht="15.75" customHeight="1">
      <c r="K81" s="24"/>
    </row>
    <row r="82" ht="23.25" customHeight="1">
      <c r="D82" s="85" t="s">
        <v>21</v>
      </c>
      <c r="G82" s="61"/>
      <c r="H82" s="61"/>
      <c r="I82" s="61"/>
      <c r="J82" s="61"/>
      <c r="K82" s="61"/>
      <c r="L82" s="86"/>
      <c r="M82" s="61"/>
    </row>
    <row r="83" ht="32.25" customHeight="1">
      <c r="D83" s="87" t="s">
        <v>22</v>
      </c>
      <c r="E83" s="40"/>
      <c r="F83" s="41"/>
      <c r="G83" s="88">
        <f>sum(B38-C38)</f>
        <v>34856.59</v>
      </c>
      <c r="H83" s="87" t="s">
        <v>23</v>
      </c>
      <c r="I83" s="40"/>
      <c r="J83" s="40"/>
      <c r="K83" s="40"/>
      <c r="L83" s="89">
        <f>sum(J6:J36)</f>
        <v>11821474.95</v>
      </c>
    </row>
    <row r="84" ht="33.0" customHeight="1">
      <c r="D84" s="87" t="s">
        <v>24</v>
      </c>
      <c r="E84" s="40"/>
      <c r="F84" s="41"/>
      <c r="G84" s="88">
        <f>sum(B77-C77)</f>
        <v>48706.15</v>
      </c>
      <c r="H84" s="87" t="s">
        <v>25</v>
      </c>
      <c r="I84" s="40"/>
      <c r="J84" s="40"/>
      <c r="K84" s="40"/>
      <c r="L84" s="90">
        <f>sum(J45:J75)</f>
        <v>15807947.86</v>
      </c>
    </row>
    <row r="85" ht="15.75" customHeight="1">
      <c r="G85" s="23"/>
      <c r="L85" s="24"/>
    </row>
    <row r="86" ht="36.0" customHeight="1">
      <c r="D86" s="91" t="s">
        <v>26</v>
      </c>
      <c r="E86" s="92"/>
      <c r="F86" s="93"/>
      <c r="G86" s="94">
        <f>sum(G83+G84)</f>
        <v>83562.74</v>
      </c>
      <c r="H86" s="95" t="s">
        <v>27</v>
      </c>
      <c r="I86" s="92"/>
      <c r="J86" s="92"/>
      <c r="K86" s="92"/>
      <c r="L86" s="96">
        <f>sum(L83:L84)</f>
        <v>27629422.81</v>
      </c>
    </row>
    <row r="87" ht="15.75" customHeight="1">
      <c r="L87" s="24"/>
    </row>
    <row r="88" ht="15.75" customHeight="1">
      <c r="L88" s="24"/>
    </row>
    <row r="89" ht="35.25" customHeight="1">
      <c r="D89" s="97" t="s">
        <v>28</v>
      </c>
      <c r="E89" s="98" t="s">
        <v>29</v>
      </c>
      <c r="F89" s="99" t="s">
        <v>30</v>
      </c>
      <c r="G89" s="100" t="s">
        <v>31</v>
      </c>
      <c r="H89" s="101" t="s">
        <v>32</v>
      </c>
      <c r="I89" s="102"/>
      <c r="J89" s="102"/>
      <c r="K89" s="102"/>
      <c r="L89" s="24"/>
    </row>
    <row r="90" ht="33.75" customHeight="1">
      <c r="D90" s="103" t="s">
        <v>33</v>
      </c>
      <c r="E90" s="104" t="s">
        <v>34</v>
      </c>
      <c r="F90" s="105">
        <v>36019.81</v>
      </c>
      <c r="G90" s="106">
        <v>43082.13</v>
      </c>
      <c r="H90" s="107">
        <f t="shared" ref="H90:H95" si="10">sum(G90-F90)</f>
        <v>7062.32</v>
      </c>
      <c r="I90" s="105"/>
      <c r="J90" s="105"/>
      <c r="L90" s="24"/>
    </row>
    <row r="91" ht="36.75" customHeight="1">
      <c r="D91" s="103" t="s">
        <v>33</v>
      </c>
      <c r="E91" s="104" t="s">
        <v>35</v>
      </c>
      <c r="F91" s="105">
        <v>39108.75</v>
      </c>
      <c r="G91" s="106">
        <v>46295.4</v>
      </c>
      <c r="H91" s="107">
        <f t="shared" si="10"/>
        <v>7186.65</v>
      </c>
      <c r="I91" s="105"/>
      <c r="J91" s="105"/>
      <c r="K91" s="105"/>
      <c r="L91" s="24"/>
    </row>
    <row r="92" ht="36.75" customHeight="1">
      <c r="D92" s="103" t="s">
        <v>33</v>
      </c>
      <c r="E92" s="104" t="s">
        <v>36</v>
      </c>
      <c r="F92" s="105">
        <v>62782.02</v>
      </c>
      <c r="G92" s="106">
        <v>72182.5</v>
      </c>
      <c r="H92" s="107">
        <f t="shared" si="10"/>
        <v>9400.48</v>
      </c>
      <c r="I92" s="105"/>
      <c r="J92" s="105"/>
      <c r="K92" s="105"/>
      <c r="L92" s="24"/>
    </row>
    <row r="93" ht="36.0" customHeight="1">
      <c r="D93" s="103" t="s">
        <v>33</v>
      </c>
      <c r="E93" s="104" t="s">
        <v>37</v>
      </c>
      <c r="F93" s="105">
        <v>48953.55</v>
      </c>
      <c r="G93" s="106">
        <v>60177.69</v>
      </c>
      <c r="H93" s="107">
        <f t="shared" si="10"/>
        <v>11224.14</v>
      </c>
      <c r="I93" s="105"/>
      <c r="J93" s="105"/>
      <c r="K93" s="105"/>
      <c r="L93" s="24"/>
    </row>
    <row r="94" ht="34.5" customHeight="1">
      <c r="D94" s="103" t="s">
        <v>38</v>
      </c>
      <c r="E94" s="108" t="s">
        <v>39</v>
      </c>
      <c r="F94" s="105">
        <v>91603.71</v>
      </c>
      <c r="G94" s="106">
        <v>117443.93</v>
      </c>
      <c r="H94" s="107">
        <f t="shared" si="10"/>
        <v>25840.22</v>
      </c>
      <c r="I94" s="105"/>
      <c r="J94" s="105"/>
      <c r="K94" s="105"/>
      <c r="L94" s="24"/>
    </row>
    <row r="95" ht="39.75" customHeight="1">
      <c r="D95" s="109" t="s">
        <v>38</v>
      </c>
      <c r="E95" s="110" t="s">
        <v>40</v>
      </c>
      <c r="F95" s="111">
        <v>52103.35</v>
      </c>
      <c r="G95" s="112">
        <v>75407.23</v>
      </c>
      <c r="H95" s="113">
        <f t="shared" si="10"/>
        <v>23303.88</v>
      </c>
      <c r="I95" s="105"/>
      <c r="J95" s="105"/>
      <c r="K95" s="105"/>
      <c r="L95" s="24"/>
    </row>
    <row r="96" ht="27.0" customHeight="1">
      <c r="G96" s="114" t="s">
        <v>41</v>
      </c>
      <c r="H96" s="114">
        <f>sum(H90:H93)</f>
        <v>34873.59</v>
      </c>
      <c r="I96" s="105"/>
      <c r="J96" s="105"/>
      <c r="L96" s="24"/>
    </row>
    <row r="97" ht="23.25" customHeight="1">
      <c r="G97" s="114" t="s">
        <v>42</v>
      </c>
      <c r="H97" s="114">
        <f>sum(H94:H95)</f>
        <v>49144.1</v>
      </c>
      <c r="I97" s="105"/>
      <c r="J97" s="105"/>
      <c r="L97" s="24"/>
    </row>
    <row r="98" ht="27.75" customHeight="1">
      <c r="G98" s="115" t="s">
        <v>43</v>
      </c>
      <c r="H98" s="114">
        <f>sum(H96:H97)</f>
        <v>84017.69</v>
      </c>
      <c r="I98" s="105"/>
      <c r="J98" s="105"/>
      <c r="L98" s="24"/>
    </row>
    <row r="99" ht="26.25" customHeight="1">
      <c r="G99" s="114" t="s">
        <v>6</v>
      </c>
      <c r="H99" s="114">
        <f>sum(C38+C77)</f>
        <v>454.05</v>
      </c>
      <c r="I99" s="105"/>
      <c r="J99" s="105"/>
      <c r="L99" s="24"/>
    </row>
    <row r="100" ht="15.75" customHeight="1"/>
    <row r="101" ht="15.75" customHeight="1">
      <c r="K101" s="24"/>
    </row>
    <row r="102" ht="24.75" customHeight="1">
      <c r="A102" s="116"/>
      <c r="G102" s="117"/>
      <c r="H102" s="117"/>
      <c r="I102" s="117"/>
      <c r="J102" s="117"/>
      <c r="K102" s="117"/>
      <c r="L102" s="117"/>
      <c r="M102" s="118"/>
    </row>
    <row r="103" ht="30.0" customHeight="1">
      <c r="A103" s="119"/>
      <c r="G103" s="120"/>
      <c r="H103" s="121" t="s">
        <v>44</v>
      </c>
      <c r="I103" s="121" t="s">
        <v>45</v>
      </c>
      <c r="J103" s="122" t="s">
        <v>46</v>
      </c>
      <c r="K103" s="123" t="s">
        <v>47</v>
      </c>
      <c r="L103" s="123" t="s">
        <v>48</v>
      </c>
      <c r="M103" s="124" t="s">
        <v>49</v>
      </c>
    </row>
    <row r="104" ht="25.5" customHeight="1">
      <c r="A104" s="11" t="s">
        <v>4</v>
      </c>
      <c r="B104" s="125" t="s">
        <v>50</v>
      </c>
      <c r="C104" s="126" t="s">
        <v>51</v>
      </c>
      <c r="D104" s="126" t="s">
        <v>52</v>
      </c>
      <c r="E104" s="127" t="s">
        <v>53</v>
      </c>
      <c r="F104" s="128" t="s">
        <v>54</v>
      </c>
      <c r="G104" s="128" t="s">
        <v>55</v>
      </c>
      <c r="H104" s="128" t="s">
        <v>56</v>
      </c>
      <c r="I104" s="128" t="s">
        <v>57</v>
      </c>
      <c r="J104" s="129"/>
      <c r="K104" s="129"/>
      <c r="L104" s="130">
        <v>119968.0</v>
      </c>
      <c r="M104" s="131" t="s">
        <v>58</v>
      </c>
    </row>
    <row r="105" ht="23.25" customHeight="1">
      <c r="A105" s="16" t="str">
        <f>ROMAN(1)</f>
        <v>I</v>
      </c>
      <c r="B105" s="132">
        <v>29338.0</v>
      </c>
      <c r="C105" s="133">
        <v>586645.0</v>
      </c>
      <c r="D105" s="133" t="s">
        <v>15</v>
      </c>
      <c r="E105" s="133">
        <v>1600.0</v>
      </c>
      <c r="F105" s="23">
        <v>3000.0</v>
      </c>
      <c r="G105" s="134">
        <v>137000.0</v>
      </c>
      <c r="H105" s="133">
        <v>157807.0</v>
      </c>
      <c r="I105" s="133">
        <v>1099000.0</v>
      </c>
      <c r="J105" s="133" t="s">
        <v>15</v>
      </c>
      <c r="K105" s="133" t="s">
        <v>15</v>
      </c>
      <c r="L105" s="135">
        <v>165578.0</v>
      </c>
      <c r="M105" s="136">
        <v>1527464.0</v>
      </c>
    </row>
    <row r="106" ht="22.5" customHeight="1">
      <c r="A106" s="21">
        <v>2.0</v>
      </c>
      <c r="B106" s="132">
        <v>33985.0</v>
      </c>
      <c r="C106" s="34">
        <v>44874.0</v>
      </c>
      <c r="D106" s="133" t="s">
        <v>15</v>
      </c>
      <c r="E106" s="133">
        <v>3000.0</v>
      </c>
      <c r="F106" s="23">
        <v>4470.0</v>
      </c>
      <c r="G106" s="134" t="s">
        <v>15</v>
      </c>
      <c r="H106" s="34">
        <v>145230.0</v>
      </c>
      <c r="I106" s="34">
        <v>883760.0</v>
      </c>
      <c r="J106" s="133"/>
      <c r="K106" s="133"/>
      <c r="L106" s="135"/>
      <c r="M106" s="137"/>
    </row>
    <row r="107" ht="22.5" customHeight="1">
      <c r="A107" s="16">
        <v>3.0</v>
      </c>
      <c r="B107" s="132">
        <v>138082.0</v>
      </c>
      <c r="C107" s="34">
        <v>242010.0</v>
      </c>
      <c r="D107" s="133" t="s">
        <v>15</v>
      </c>
      <c r="E107" s="133">
        <v>3100.0</v>
      </c>
      <c r="F107" s="23">
        <v>3967.0</v>
      </c>
      <c r="G107" s="134" t="s">
        <v>15</v>
      </c>
      <c r="H107" s="133">
        <v>121460.0</v>
      </c>
      <c r="I107" s="133">
        <v>364700.0</v>
      </c>
      <c r="J107" s="133"/>
      <c r="K107" s="133"/>
      <c r="L107" s="135">
        <v>213094.0</v>
      </c>
      <c r="M107" s="136"/>
    </row>
    <row r="108" ht="21.75" customHeight="1">
      <c r="A108" s="21">
        <v>4.0</v>
      </c>
      <c r="B108" s="132">
        <v>307850.0</v>
      </c>
      <c r="C108" s="34">
        <v>26750.0</v>
      </c>
      <c r="D108" s="133" t="s">
        <v>15</v>
      </c>
      <c r="E108" s="135">
        <v>37500.0</v>
      </c>
      <c r="F108" s="23">
        <v>6200.0</v>
      </c>
      <c r="G108" s="134" t="s">
        <v>15</v>
      </c>
      <c r="H108" s="34">
        <v>145584.0</v>
      </c>
      <c r="I108" s="34">
        <v>270750.0</v>
      </c>
      <c r="J108" s="133"/>
      <c r="K108" s="133"/>
      <c r="L108" s="135"/>
      <c r="M108" s="137"/>
    </row>
    <row r="109" ht="21.75" customHeight="1">
      <c r="A109" s="16">
        <v>5.0</v>
      </c>
      <c r="B109" s="132">
        <v>126831.0</v>
      </c>
      <c r="C109" s="34">
        <v>119236.0</v>
      </c>
      <c r="D109" s="133" t="s">
        <v>15</v>
      </c>
      <c r="E109" s="133" t="s">
        <v>15</v>
      </c>
      <c r="F109" s="133">
        <v>730.0</v>
      </c>
      <c r="G109" s="134" t="s">
        <v>15</v>
      </c>
      <c r="H109" s="133">
        <v>104673.0</v>
      </c>
      <c r="I109" s="133">
        <v>786700.0</v>
      </c>
      <c r="J109" s="133"/>
      <c r="K109" s="133"/>
      <c r="L109" s="133"/>
      <c r="M109" s="136"/>
    </row>
    <row r="110" ht="21.75" customHeight="1">
      <c r="A110" s="21">
        <v>6.0</v>
      </c>
      <c r="B110" s="132">
        <v>40750.0</v>
      </c>
      <c r="C110" s="34">
        <v>23350.0</v>
      </c>
      <c r="D110" s="133" t="s">
        <v>15</v>
      </c>
      <c r="E110" s="133" t="s">
        <v>15</v>
      </c>
      <c r="F110" s="34">
        <v>3100.0</v>
      </c>
      <c r="G110" s="134" t="s">
        <v>15</v>
      </c>
      <c r="H110" s="34">
        <v>64949.0</v>
      </c>
      <c r="I110" s="138">
        <v>1511300.0</v>
      </c>
      <c r="J110" s="133">
        <v>1000000.0</v>
      </c>
      <c r="K110" s="133">
        <v>1000000.0</v>
      </c>
      <c r="L110" s="135">
        <v>2644458.0</v>
      </c>
      <c r="M110" s="136"/>
    </row>
    <row r="111" ht="22.5" customHeight="1">
      <c r="A111" s="16">
        <v>7.0</v>
      </c>
      <c r="B111" s="132">
        <v>40395.0</v>
      </c>
      <c r="C111" s="34">
        <v>1500.0</v>
      </c>
      <c r="D111" s="133" t="s">
        <v>15</v>
      </c>
      <c r="E111" s="133" t="s">
        <v>15</v>
      </c>
      <c r="F111" s="133">
        <v>1750.0</v>
      </c>
      <c r="G111" s="134" t="s">
        <v>15</v>
      </c>
      <c r="H111" s="133">
        <v>134306.0</v>
      </c>
      <c r="I111" s="133">
        <v>300400.0</v>
      </c>
      <c r="J111" s="133"/>
      <c r="K111" s="133"/>
      <c r="L111" s="133"/>
      <c r="M111" s="139"/>
    </row>
    <row r="112" ht="22.5" customHeight="1">
      <c r="A112" s="21">
        <v>8.0</v>
      </c>
      <c r="B112" s="33">
        <v>2550.0</v>
      </c>
      <c r="C112" s="34">
        <v>386895.0</v>
      </c>
      <c r="D112" s="133" t="s">
        <v>15</v>
      </c>
      <c r="E112" s="133">
        <v>4000.0</v>
      </c>
      <c r="F112" s="34">
        <v>1800.0</v>
      </c>
      <c r="G112" s="134" t="s">
        <v>15</v>
      </c>
      <c r="H112" s="34">
        <v>91267.0</v>
      </c>
      <c r="I112" s="140">
        <v>386900.0</v>
      </c>
      <c r="J112" s="133"/>
      <c r="K112" s="133"/>
      <c r="L112" s="133"/>
      <c r="M112" s="141"/>
    </row>
    <row r="113" ht="24.75" customHeight="1">
      <c r="A113" s="16">
        <v>9.0</v>
      </c>
      <c r="B113" s="132">
        <v>201115.0</v>
      </c>
      <c r="C113" s="133">
        <v>29065.0</v>
      </c>
      <c r="D113" s="133" t="s">
        <v>15</v>
      </c>
      <c r="E113" s="133" t="s">
        <v>15</v>
      </c>
      <c r="F113" s="133">
        <v>1100.0</v>
      </c>
      <c r="G113" s="134" t="s">
        <v>15</v>
      </c>
      <c r="H113" s="133">
        <v>103344.0</v>
      </c>
      <c r="I113" s="133">
        <v>225000.0</v>
      </c>
      <c r="J113" s="133"/>
      <c r="K113" s="133"/>
      <c r="L113" s="135">
        <v>250815.0</v>
      </c>
      <c r="M113" s="142"/>
    </row>
    <row r="114" ht="22.5" customHeight="1">
      <c r="A114" s="21">
        <v>10.0</v>
      </c>
      <c r="B114" s="33">
        <v>22500.0</v>
      </c>
      <c r="C114" s="34">
        <v>32076.0</v>
      </c>
      <c r="D114" s="133" t="s">
        <v>15</v>
      </c>
      <c r="E114" s="133" t="s">
        <v>15</v>
      </c>
      <c r="F114" s="34">
        <v>3880.0</v>
      </c>
      <c r="G114" s="134" t="s">
        <v>15</v>
      </c>
      <c r="H114" s="34">
        <v>85306.0</v>
      </c>
      <c r="I114" s="44">
        <v>257856.0</v>
      </c>
      <c r="J114" s="133"/>
      <c r="K114" s="133"/>
      <c r="L114" s="133"/>
      <c r="M114" s="137"/>
    </row>
    <row r="115" ht="21.0" customHeight="1">
      <c r="A115" s="16">
        <v>11.0</v>
      </c>
      <c r="B115" s="132">
        <v>132082.0</v>
      </c>
      <c r="C115" s="133">
        <v>26500.0</v>
      </c>
      <c r="D115" s="133" t="s">
        <v>15</v>
      </c>
      <c r="E115" s="133">
        <v>3010.0</v>
      </c>
      <c r="F115" s="133">
        <v>1670.0</v>
      </c>
      <c r="G115" s="134" t="s">
        <v>15</v>
      </c>
      <c r="H115" s="133">
        <v>145069.0</v>
      </c>
      <c r="I115" s="34">
        <v>605080.0</v>
      </c>
      <c r="J115" s="133"/>
      <c r="K115" s="133"/>
      <c r="L115" s="133"/>
      <c r="M115" s="136"/>
    </row>
    <row r="116" ht="21.0" customHeight="1">
      <c r="A116" s="21">
        <v>12.0</v>
      </c>
      <c r="B116" s="33">
        <v>23749.0</v>
      </c>
      <c r="C116" s="44">
        <v>3000.0</v>
      </c>
      <c r="D116" s="133" t="s">
        <v>15</v>
      </c>
      <c r="E116" s="133" t="s">
        <v>15</v>
      </c>
      <c r="F116" s="34">
        <v>1160.0</v>
      </c>
      <c r="G116" s="134" t="s">
        <v>15</v>
      </c>
      <c r="H116" s="34">
        <v>45539.0</v>
      </c>
      <c r="I116" s="133">
        <v>288900.0</v>
      </c>
      <c r="J116" s="133"/>
      <c r="K116" s="133"/>
      <c r="L116" s="135">
        <v>1500000.0</v>
      </c>
      <c r="M116" s="137"/>
    </row>
    <row r="117" ht="24.0" customHeight="1">
      <c r="A117" s="16">
        <v>13.0</v>
      </c>
      <c r="B117" s="132">
        <v>168538.0</v>
      </c>
      <c r="C117" s="34">
        <v>5871.0</v>
      </c>
      <c r="D117" s="133" t="s">
        <v>15</v>
      </c>
      <c r="E117" s="133" t="s">
        <v>15</v>
      </c>
      <c r="F117" s="133">
        <v>1320.0</v>
      </c>
      <c r="G117" s="134" t="s">
        <v>15</v>
      </c>
      <c r="H117" s="133">
        <v>84376.0</v>
      </c>
      <c r="I117" s="34">
        <v>245000.0</v>
      </c>
      <c r="J117" s="133"/>
      <c r="K117" s="133"/>
      <c r="L117" s="135">
        <v>1061106.0</v>
      </c>
      <c r="M117" s="136"/>
    </row>
    <row r="118" ht="22.5" customHeight="1">
      <c r="A118" s="21">
        <v>14.0</v>
      </c>
      <c r="B118" s="143">
        <v>13781.0</v>
      </c>
      <c r="C118" s="44">
        <v>256478.0</v>
      </c>
      <c r="D118" s="133" t="s">
        <v>15</v>
      </c>
      <c r="E118" s="133" t="s">
        <v>15</v>
      </c>
      <c r="F118" s="34">
        <v>1370.0</v>
      </c>
      <c r="G118" s="134" t="s">
        <v>15</v>
      </c>
      <c r="H118" s="34">
        <v>44311.0</v>
      </c>
      <c r="I118" s="133">
        <v>890950.0</v>
      </c>
      <c r="J118" s="133"/>
      <c r="K118" s="133"/>
      <c r="L118" s="144">
        <v>1529250.0</v>
      </c>
      <c r="M118" s="137"/>
    </row>
    <row r="119" ht="24.0" customHeight="1">
      <c r="A119" s="16">
        <v>15.0</v>
      </c>
      <c r="B119" s="143">
        <v>83301.0</v>
      </c>
      <c r="C119" s="44">
        <v>47495.0</v>
      </c>
      <c r="D119" s="133" t="s">
        <v>15</v>
      </c>
      <c r="E119" s="135">
        <v>25000.0</v>
      </c>
      <c r="F119" s="133">
        <v>2550.0</v>
      </c>
      <c r="G119" s="134" t="s">
        <v>15</v>
      </c>
      <c r="H119" s="133">
        <v>74060.0</v>
      </c>
      <c r="I119" s="34">
        <v>933910.0</v>
      </c>
      <c r="J119" s="133"/>
      <c r="K119" s="133">
        <v>173910.0</v>
      </c>
      <c r="L119" s="135">
        <v>237400.0</v>
      </c>
      <c r="M119" s="136"/>
    </row>
    <row r="120" ht="23.25" customHeight="1">
      <c r="A120" s="16">
        <v>16.0</v>
      </c>
      <c r="B120" s="145">
        <v>128221.0</v>
      </c>
      <c r="C120" s="146">
        <v>153187.0</v>
      </c>
      <c r="D120" s="133" t="s">
        <v>15</v>
      </c>
      <c r="E120" s="135">
        <v>1000.0</v>
      </c>
      <c r="F120" s="135">
        <v>3950.0</v>
      </c>
      <c r="G120" s="134" t="s">
        <v>15</v>
      </c>
      <c r="H120" s="135">
        <v>87184.0</v>
      </c>
      <c r="I120" s="147">
        <v>1239000.0</v>
      </c>
      <c r="J120" s="133"/>
      <c r="K120" s="133"/>
      <c r="L120" s="135">
        <v>3326972.0</v>
      </c>
      <c r="M120" s="137"/>
    </row>
    <row r="121" ht="21.75" customHeight="1">
      <c r="A121" s="21">
        <v>17.0</v>
      </c>
      <c r="B121" s="145">
        <v>45086.0</v>
      </c>
      <c r="C121" s="146">
        <v>10332.0</v>
      </c>
      <c r="D121" s="133" t="s">
        <v>15</v>
      </c>
      <c r="E121" s="135">
        <v>1000.0</v>
      </c>
      <c r="F121" s="135">
        <v>16410.0</v>
      </c>
      <c r="G121" s="134" t="s">
        <v>15</v>
      </c>
      <c r="H121" s="135">
        <v>60601.0</v>
      </c>
      <c r="I121" s="147">
        <v>1021317.0</v>
      </c>
      <c r="J121" s="133"/>
      <c r="K121" s="133"/>
      <c r="L121" s="133"/>
      <c r="M121" s="137"/>
    </row>
    <row r="122" ht="21.75" customHeight="1">
      <c r="A122" s="16">
        <v>18.0</v>
      </c>
      <c r="B122" s="145">
        <v>983181.0</v>
      </c>
      <c r="C122" s="146">
        <v>32869.0</v>
      </c>
      <c r="D122" s="133" t="s">
        <v>15</v>
      </c>
      <c r="E122" s="135">
        <v>2000.0</v>
      </c>
      <c r="F122" s="135">
        <v>8140.0</v>
      </c>
      <c r="G122" s="134" t="s">
        <v>15</v>
      </c>
      <c r="H122" s="135">
        <v>67622.0</v>
      </c>
      <c r="I122" s="147">
        <v>220000.0</v>
      </c>
      <c r="J122" s="133"/>
      <c r="K122" s="133"/>
      <c r="L122" s="133"/>
      <c r="M122" s="137"/>
    </row>
    <row r="123" ht="21.75" customHeight="1">
      <c r="A123" s="21">
        <v>19.0</v>
      </c>
      <c r="B123" s="145">
        <v>388305.0</v>
      </c>
      <c r="C123" s="146">
        <v>983549.0</v>
      </c>
      <c r="D123" s="133" t="s">
        <v>15</v>
      </c>
      <c r="E123" s="135" t="s">
        <v>15</v>
      </c>
      <c r="F123" s="135">
        <v>11680.0</v>
      </c>
      <c r="G123" s="134" t="s">
        <v>15</v>
      </c>
      <c r="H123" s="135">
        <v>146842.0</v>
      </c>
      <c r="I123" s="147">
        <v>1063000.0</v>
      </c>
      <c r="J123" s="133"/>
      <c r="K123" s="133"/>
      <c r="L123" s="135"/>
      <c r="M123" s="148">
        <v>127715.0</v>
      </c>
    </row>
    <row r="124" ht="24.0" customHeight="1">
      <c r="A124" s="16">
        <v>20.0</v>
      </c>
      <c r="B124" s="145">
        <v>91252.0</v>
      </c>
      <c r="C124" s="146">
        <v>389020.0</v>
      </c>
      <c r="D124" s="133" t="s">
        <v>15</v>
      </c>
      <c r="E124" s="135" t="s">
        <v>15</v>
      </c>
      <c r="F124" s="135">
        <v>3420.0</v>
      </c>
      <c r="G124" s="134" t="s">
        <v>15</v>
      </c>
      <c r="H124" s="135">
        <v>69749.0</v>
      </c>
      <c r="I124" s="147">
        <v>697528.0</v>
      </c>
      <c r="J124" s="133"/>
      <c r="K124" s="133"/>
      <c r="L124" s="135">
        <v>807479.0</v>
      </c>
      <c r="M124" s="137"/>
    </row>
    <row r="125" ht="21.75" customHeight="1">
      <c r="A125" s="21">
        <v>21.0</v>
      </c>
      <c r="B125" s="145">
        <v>1276303.0</v>
      </c>
      <c r="C125" s="146">
        <v>1314800.0</v>
      </c>
      <c r="D125" s="133" t="s">
        <v>15</v>
      </c>
      <c r="E125" s="135">
        <v>6408.0</v>
      </c>
      <c r="F125" s="135">
        <v>1200.0</v>
      </c>
      <c r="G125" s="134" t="s">
        <v>15</v>
      </c>
      <c r="H125" s="135">
        <v>116313.0</v>
      </c>
      <c r="I125" s="147">
        <v>1747950.0</v>
      </c>
      <c r="J125" s="135">
        <v>173910.0</v>
      </c>
      <c r="K125" s="133"/>
      <c r="L125" s="133"/>
      <c r="M125" s="148">
        <v>600000.0</v>
      </c>
    </row>
    <row r="126" ht="22.5" customHeight="1">
      <c r="A126" s="16">
        <v>22.0</v>
      </c>
      <c r="B126" s="145">
        <v>16252.0</v>
      </c>
      <c r="C126" s="146">
        <v>22800.0</v>
      </c>
      <c r="D126" s="133" t="s">
        <v>15</v>
      </c>
      <c r="E126" s="135">
        <v>26000.0</v>
      </c>
      <c r="F126" s="135">
        <v>1150.0</v>
      </c>
      <c r="G126" s="134" t="s">
        <v>15</v>
      </c>
      <c r="H126" s="135">
        <v>175548.0</v>
      </c>
      <c r="I126" s="147">
        <v>482930.0</v>
      </c>
      <c r="J126" s="133"/>
      <c r="K126" s="135">
        <v>10000.0</v>
      </c>
      <c r="L126" s="133"/>
      <c r="M126" s="148">
        <v>1500000.0</v>
      </c>
    </row>
    <row r="127" ht="22.5" customHeight="1">
      <c r="A127" s="21">
        <v>23.0</v>
      </c>
      <c r="B127" s="145">
        <v>231302.0</v>
      </c>
      <c r="C127" s="146">
        <v>59758.0</v>
      </c>
      <c r="D127" s="133" t="s">
        <v>15</v>
      </c>
      <c r="E127" s="135">
        <v>200.0</v>
      </c>
      <c r="F127" s="135">
        <v>1850.0</v>
      </c>
      <c r="G127" s="134" t="s">
        <v>15</v>
      </c>
      <c r="H127" s="135">
        <v>40653.0</v>
      </c>
      <c r="I127" s="147">
        <v>1332550.0</v>
      </c>
      <c r="J127" s="133"/>
      <c r="K127" s="133"/>
      <c r="L127" s="135">
        <v>365040.0</v>
      </c>
      <c r="M127" s="148">
        <v>376094.0</v>
      </c>
    </row>
    <row r="128" ht="22.5" customHeight="1">
      <c r="A128" s="16">
        <v>24.0</v>
      </c>
      <c r="B128" s="145">
        <v>3979229.0</v>
      </c>
      <c r="C128" s="146">
        <v>214720.0</v>
      </c>
      <c r="D128" s="133" t="s">
        <v>15</v>
      </c>
      <c r="E128" s="135">
        <v>29880.0</v>
      </c>
      <c r="F128" s="135">
        <v>23453.0</v>
      </c>
      <c r="G128" s="134" t="s">
        <v>15</v>
      </c>
      <c r="H128" s="135">
        <v>50772.0</v>
      </c>
      <c r="I128" s="147">
        <v>927000.0</v>
      </c>
      <c r="J128" s="133"/>
      <c r="K128" s="133"/>
      <c r="L128" s="133"/>
      <c r="M128" s="148">
        <v>600000.0</v>
      </c>
    </row>
    <row r="129" ht="22.5" customHeight="1">
      <c r="A129" s="16">
        <v>25.0</v>
      </c>
      <c r="B129" s="145">
        <v>49432.0</v>
      </c>
      <c r="C129" s="146">
        <v>3840049.0</v>
      </c>
      <c r="D129" s="133" t="s">
        <v>15</v>
      </c>
      <c r="E129" s="135">
        <v>54027.0</v>
      </c>
      <c r="F129" s="135">
        <v>1310.0</v>
      </c>
      <c r="G129" s="134" t="s">
        <v>15</v>
      </c>
      <c r="H129" s="135">
        <v>99418.0</v>
      </c>
      <c r="I129" s="147">
        <v>4181780.0</v>
      </c>
      <c r="J129" s="133"/>
      <c r="K129" s="135">
        <v>5250.0</v>
      </c>
      <c r="L129" s="135">
        <v>3084400.0</v>
      </c>
      <c r="M129" s="137"/>
    </row>
    <row r="130" ht="21.75" customHeight="1">
      <c r="A130" s="21">
        <v>26.0</v>
      </c>
      <c r="B130" s="145">
        <v>333674.0</v>
      </c>
      <c r="C130" s="146">
        <v>13000.0</v>
      </c>
      <c r="D130" s="133" t="s">
        <v>15</v>
      </c>
      <c r="E130" s="135">
        <v>1096.0</v>
      </c>
      <c r="F130" s="135">
        <v>1970.0</v>
      </c>
      <c r="G130" s="134" t="s">
        <v>15</v>
      </c>
      <c r="H130" s="135">
        <v>78655.0</v>
      </c>
      <c r="I130" s="147">
        <v>1167550.0</v>
      </c>
      <c r="J130" s="133"/>
      <c r="K130" s="133"/>
      <c r="L130" s="133"/>
      <c r="M130" s="137"/>
    </row>
    <row r="131" ht="22.5" customHeight="1">
      <c r="A131" s="16">
        <v>27.0</v>
      </c>
      <c r="B131" s="145">
        <v>65942.0</v>
      </c>
      <c r="C131" s="146">
        <v>326941.0</v>
      </c>
      <c r="D131" s="133" t="s">
        <v>15</v>
      </c>
      <c r="E131" s="135" t="s">
        <v>15</v>
      </c>
      <c r="F131" s="135">
        <v>1400.0</v>
      </c>
      <c r="G131" s="134" t="s">
        <v>15</v>
      </c>
      <c r="H131" s="135">
        <v>174000.0</v>
      </c>
      <c r="I131" s="147">
        <v>472200.0</v>
      </c>
      <c r="J131" s="133"/>
      <c r="K131" s="133"/>
      <c r="L131" s="135">
        <v>2544761.0</v>
      </c>
      <c r="M131" s="137"/>
    </row>
    <row r="132" ht="22.5" customHeight="1">
      <c r="A132" s="21">
        <v>28.0</v>
      </c>
      <c r="B132" s="145">
        <v>25174.0</v>
      </c>
      <c r="C132" s="146">
        <v>39646.0</v>
      </c>
      <c r="D132" s="146">
        <v>30000.0</v>
      </c>
      <c r="E132" s="135" t="s">
        <v>15</v>
      </c>
      <c r="F132" s="135">
        <v>2670.0</v>
      </c>
      <c r="G132" s="134" t="s">
        <v>15</v>
      </c>
      <c r="H132" s="135">
        <v>163342.0</v>
      </c>
      <c r="I132" s="147">
        <v>216070.0</v>
      </c>
      <c r="J132" s="133"/>
      <c r="K132" s="133"/>
      <c r="L132" s="133"/>
      <c r="M132" s="137"/>
    </row>
    <row r="133" ht="22.5" customHeight="1">
      <c r="A133" s="16">
        <v>29.0</v>
      </c>
      <c r="B133" s="145">
        <v>17358.0</v>
      </c>
      <c r="C133" s="146">
        <v>27012.0</v>
      </c>
      <c r="D133" s="146" t="s">
        <v>15</v>
      </c>
      <c r="E133" s="135" t="s">
        <v>15</v>
      </c>
      <c r="F133" s="135">
        <v>450.0</v>
      </c>
      <c r="G133" s="135">
        <v>500.0</v>
      </c>
      <c r="H133" s="135">
        <v>91077.0</v>
      </c>
      <c r="I133" s="147">
        <v>227032.0</v>
      </c>
      <c r="J133" s="133"/>
      <c r="K133" s="133"/>
      <c r="L133" s="135">
        <v>228439.0</v>
      </c>
      <c r="M133" s="137"/>
    </row>
    <row r="134" ht="21.75" customHeight="1">
      <c r="A134" s="21">
        <v>30.0</v>
      </c>
      <c r="B134" s="145">
        <v>66135.0</v>
      </c>
      <c r="C134" s="146">
        <v>131592.0</v>
      </c>
      <c r="D134" s="146">
        <v>24000.0</v>
      </c>
      <c r="E134" s="135" t="s">
        <v>15</v>
      </c>
      <c r="F134" s="135">
        <v>1300.0</v>
      </c>
      <c r="G134" s="135" t="s">
        <v>15</v>
      </c>
      <c r="H134" s="135">
        <v>75622.0</v>
      </c>
      <c r="I134" s="147">
        <v>610822.0</v>
      </c>
      <c r="J134" s="133"/>
      <c r="K134" s="135">
        <v>10109.0</v>
      </c>
      <c r="L134" s="133"/>
      <c r="M134" s="137"/>
    </row>
    <row r="135" ht="23.25" customHeight="1">
      <c r="A135" s="16">
        <v>31.0</v>
      </c>
      <c r="B135" s="145">
        <v>208172.0</v>
      </c>
      <c r="C135" s="146">
        <v>19983.0</v>
      </c>
      <c r="D135" s="146">
        <v>50000.0</v>
      </c>
      <c r="E135" s="135" t="s">
        <v>15</v>
      </c>
      <c r="F135" s="135">
        <v>3920.0</v>
      </c>
      <c r="G135" s="135" t="s">
        <v>15</v>
      </c>
      <c r="H135" s="135">
        <v>124179.0</v>
      </c>
      <c r="I135" s="147">
        <v>347550.0</v>
      </c>
      <c r="J135" s="133"/>
      <c r="K135" s="133"/>
      <c r="L135" s="133"/>
      <c r="M135" s="137"/>
    </row>
    <row r="136" ht="23.25" customHeight="1">
      <c r="B136" s="149"/>
      <c r="C136" s="150"/>
      <c r="D136" s="150"/>
      <c r="E136" s="150"/>
      <c r="F136" s="150"/>
      <c r="G136" s="150"/>
      <c r="H136" s="150"/>
      <c r="I136" s="151"/>
      <c r="J136" s="150"/>
      <c r="K136" s="150"/>
      <c r="L136" s="150"/>
      <c r="M136" s="152"/>
    </row>
    <row r="137" ht="21.75" customHeight="1">
      <c r="B137" s="153">
        <f t="shared" ref="B137:M137" si="11">sum(B105:B136)</f>
        <v>9269865</v>
      </c>
      <c r="C137" s="154">
        <f t="shared" si="11"/>
        <v>9411003</v>
      </c>
      <c r="D137" s="155">
        <f t="shared" si="11"/>
        <v>104000</v>
      </c>
      <c r="E137" s="155">
        <f t="shared" si="11"/>
        <v>198821</v>
      </c>
      <c r="F137" s="155">
        <f t="shared" si="11"/>
        <v>122340</v>
      </c>
      <c r="G137" s="155">
        <f t="shared" si="11"/>
        <v>137500</v>
      </c>
      <c r="H137" s="155">
        <f t="shared" si="11"/>
        <v>3168858</v>
      </c>
      <c r="I137" s="155">
        <f t="shared" si="11"/>
        <v>25004485</v>
      </c>
      <c r="J137" s="155">
        <f t="shared" si="11"/>
        <v>1173910</v>
      </c>
      <c r="K137" s="155">
        <f t="shared" si="11"/>
        <v>1199269</v>
      </c>
      <c r="L137" s="155">
        <f t="shared" si="11"/>
        <v>17958792</v>
      </c>
      <c r="M137" s="156">
        <f t="shared" si="11"/>
        <v>4731273</v>
      </c>
    </row>
    <row r="138" ht="54.75" customHeight="1">
      <c r="B138" s="157"/>
      <c r="C138" s="158"/>
      <c r="D138" s="159"/>
      <c r="E138" s="160"/>
      <c r="F138" s="160"/>
      <c r="G138" s="160"/>
      <c r="H138" s="160"/>
      <c r="I138" s="160"/>
      <c r="J138" s="160"/>
      <c r="K138" s="160"/>
      <c r="L138" s="160"/>
      <c r="M138" s="161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</sheetData>
  <mergeCells count="22">
    <mergeCell ref="A1:L1"/>
    <mergeCell ref="A2:K2"/>
    <mergeCell ref="A3:L3"/>
    <mergeCell ref="A4:L4"/>
    <mergeCell ref="A38:A39"/>
    <mergeCell ref="B39:C39"/>
    <mergeCell ref="D39:G39"/>
    <mergeCell ref="D84:F84"/>
    <mergeCell ref="D86:F86"/>
    <mergeCell ref="H86:K86"/>
    <mergeCell ref="A102:F102"/>
    <mergeCell ref="A103:F103"/>
    <mergeCell ref="B138:C138"/>
    <mergeCell ref="D138:M138"/>
    <mergeCell ref="A42:L42"/>
    <mergeCell ref="A43:L43"/>
    <mergeCell ref="B78:C78"/>
    <mergeCell ref="D78:G78"/>
    <mergeCell ref="D83:F83"/>
    <mergeCell ref="H83:K83"/>
    <mergeCell ref="H84:K84"/>
    <mergeCell ref="D82:F82"/>
  </mergeCells>
  <conditionalFormatting sqref="M1:T40 AG1:AG4 A6:L40 AG6:AH12 AG14:AG40 AH14:AH41 A45:A75 B45:L78 X58:AF68 AG58:AG67 M68:W68 D83:L84 D86:L86 D89:J89 A92:J93 A95:J95 A98:G98 A105:A135 B105:M138">
    <cfRule type="notContainsBlanks" dxfId="0" priority="1">
      <formula>LEN(TRIM(M1))&gt;0</formula>
    </cfRule>
  </conditionalFormatting>
  <conditionalFormatting sqref="A20:J37 AH38:AH41 A59:A75 B59:J76 L59:L76 A119:A135">
    <cfRule type="notContainsBlanks" dxfId="0" priority="2">
      <formula>LEN(TRIM(A20))&gt;0</formula>
    </cfRule>
  </conditionalFormatting>
  <conditionalFormatting sqref="A20:J37 AH38:AH41 A59:A75 B59:J76 L59:L76 A119:A135">
    <cfRule type="notContainsBlanks" dxfId="0" priority="3">
      <formula>LEN(TRIM(A20))&gt;0</formula>
    </cfRule>
  </conditionalFormatting>
  <conditionalFormatting sqref="A102:AH102">
    <cfRule type="notContainsBlanks" dxfId="0" priority="4">
      <formula>LEN(TRIM(A102))&gt;0</formula>
    </cfRule>
  </conditionalFormatting>
  <drawing r:id="rId2"/>
  <legacyDrawing r:id="rId3"/>
</worksheet>
</file>