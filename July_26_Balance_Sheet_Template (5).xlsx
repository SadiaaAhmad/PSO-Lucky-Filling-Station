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بیلنس شیٹ ٹیمپلیٹ" sheetId="1" r:id="rId4"/>
  </sheets>
  <definedNames/>
  <calcPr/>
  <extLst>
    <ext uri="GoogleSheetsCustomDataVersion2">
      <go:sheetsCustomData xmlns:go="http://customooxmlschemas.google.com/" r:id="rId5" roundtripDataChecksum="JC2/77l1QvFNDvYsFRcK/0uWp5kxuJOsUTeUDukqPIg="/>
    </ext>
  </extLst>
</workbook>
</file>

<file path=xl/sharedStrings.xml><?xml version="1.0" encoding="utf-8"?>
<sst xmlns="http://schemas.openxmlformats.org/spreadsheetml/2006/main" count="46" uniqueCount="30">
  <si>
    <t>لکی فلنگ اسٹیشن - ماہانہ بیلنس شیٹ (جولائی 2026)</t>
  </si>
  <si>
    <t>1۔ آمدن کا حساب کتاب (Income Section)</t>
  </si>
  <si>
    <t>تاریخ (Date)</t>
  </si>
  <si>
    <t>تفصیل آمدن (Description)</t>
  </si>
  <si>
    <t>لیٹرز (Liters)</t>
  </si>
  <si>
    <t>نفع فی لیٹر (Rate)</t>
  </si>
  <si>
    <t>کل رقم (PKR Amount)</t>
  </si>
  <si>
    <t>-</t>
  </si>
  <si>
    <t>HSD سٹاک نفع</t>
  </si>
  <si>
    <t>PMG سٹاک نفع</t>
  </si>
  <si>
    <t>پیٹرول سیل نفع</t>
  </si>
  <si>
    <t>ڈیزل سیل نفع</t>
  </si>
  <si>
    <t>Code Supply Margin</t>
  </si>
  <si>
    <t>Holding Commission / 25% Gain Share</t>
  </si>
  <si>
    <t>کل آمدن (Total Income)</t>
  </si>
  <si>
    <t>2۔ اخراجات اور نقصان کا حساب کتاب (Expenses &amp; Loss)</t>
  </si>
  <si>
    <t>تفصیل خرچ / نقصان (Description)</t>
  </si>
  <si>
    <t>نقصان فی لیٹر (Rate)</t>
  </si>
  <si>
    <t>رقم (PKR Amount)</t>
  </si>
  <si>
    <t>PMG (نقصان) سٹاک</t>
  </si>
  <si>
    <t>HSD (نقصان) سٹاک</t>
  </si>
  <si>
    <t>ملازمین کی تنخواہیں</t>
  </si>
  <si>
    <t xml:space="preserve">ڈسکاؤنٹ (پٹرول ڈیزل خریداری) </t>
  </si>
  <si>
    <t xml:space="preserve"> انعام + کرایہ</t>
  </si>
  <si>
    <t xml:space="preserve">گھریلو اخراجات </t>
  </si>
  <si>
    <t>مشروبات</t>
  </si>
  <si>
    <t xml:space="preserve">پمپ اخراجات </t>
  </si>
  <si>
    <t>کل اخراجات (Total Expenses)</t>
  </si>
  <si>
    <t>خلاصہ رپورٹ (SUMMARY REPORT)</t>
  </si>
  <si>
    <t>خالص منافع / بچت (Net Profit)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</si>
</sst>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b/>
      <sz val="16.0"/>
      <color rgb="FFFFFFFF"/>
      <name val="Calibri"/>
    </font>
    <font/>
    <font>
      <b/>
      <sz val="11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C5282"/>
        <bgColor rgb="FF2C5282"/>
      </patternFill>
    </fill>
    <fill>
      <patternFill patternType="solid">
        <fgColor rgb="FF9B2C2C"/>
        <bgColor rgb="FF9B2C2C"/>
      </patternFill>
    </fill>
    <fill>
      <patternFill patternType="solid">
        <fgColor rgb="FFCBD5E0"/>
        <bgColor rgb="FFCBD5E0"/>
      </patternFill>
    </fill>
    <fill>
      <patternFill patternType="solid">
        <fgColor rgb="FFEDF2F7"/>
        <bgColor rgb="FFEDF2F7"/>
      </patternFill>
    </fill>
    <fill>
      <patternFill patternType="solid">
        <fgColor rgb="FFC6F6D5"/>
        <bgColor rgb="FFC6F6D5"/>
      </patternFill>
    </fill>
  </fills>
  <borders count="9">
    <border/>
    <border>
      <left/>
      <top/>
      <bottom/>
    </border>
    <border>
      <top/>
      <bottom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top style="thin">
        <color rgb="FFCBD5E0"/>
      </top>
    </border>
    <border>
      <top style="thin">
        <color rgb="FFCBD5E0"/>
      </top>
      <bottom style="double">
        <color rgb="FF1F4E78"/>
      </bottom>
    </border>
    <border>
      <left style="thin">
        <color rgb="FFCBD5E0"/>
      </left>
      <top style="thin">
        <color rgb="FFCBD5E0"/>
      </top>
      <bottom style="thin">
        <color rgb="FFCBD5E0"/>
      </bottom>
    </border>
    <border>
      <top style="thin">
        <color rgb="FFCBD5E0"/>
      </top>
      <bottom style="thin">
        <color rgb="FFCBD5E0"/>
      </bottom>
    </border>
    <border>
      <right style="thin">
        <color rgb="FFCBD5E0"/>
      </right>
      <top style="thin">
        <color rgb="FFCBD5E0"/>
      </top>
      <bottom style="thin">
        <color rgb="FFCBD5E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0" fillId="0" fontId="3" numFmtId="0" xfId="0" applyAlignment="1" applyFont="1">
      <alignment horizontal="left" readingOrder="0" vertical="center"/>
    </xf>
    <xf borderId="3" fillId="3" fontId="4" numFmtId="0" xfId="0" applyAlignment="1" applyBorder="1" applyFill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right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readingOrder="0"/>
    </xf>
    <xf borderId="3" fillId="0" fontId="5" numFmtId="0" xfId="0" applyAlignment="1" applyBorder="1" applyFont="1">
      <alignment horizontal="right" readingOrder="0" vertical="center"/>
    </xf>
    <xf borderId="3" fillId="0" fontId="5" numFmtId="4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right" readingOrder="0" vertical="center"/>
    </xf>
    <xf borderId="3" fillId="0" fontId="5" numFmtId="4" xfId="0" applyBorder="1" applyFont="1" applyNumberFormat="1"/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right" readingOrder="0" vertical="center"/>
    </xf>
    <xf borderId="4" fillId="0" fontId="5" numFmtId="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5" fillId="0" fontId="5" numFmtId="0" xfId="0" applyBorder="1" applyFont="1"/>
    <xf borderId="5" fillId="0" fontId="3" numFmtId="0" xfId="0" applyAlignment="1" applyBorder="1" applyFont="1">
      <alignment horizontal="right" readingOrder="0" vertical="center"/>
    </xf>
    <xf borderId="5" fillId="0" fontId="3" numFmtId="4" xfId="0" applyBorder="1" applyFont="1" applyNumberFormat="1"/>
    <xf borderId="3" fillId="4" fontId="4" numFmtId="0" xfId="0" applyAlignment="1" applyBorder="1" applyFill="1" applyFont="1">
      <alignment horizontal="center" readingOrder="0" vertical="center"/>
    </xf>
    <xf borderId="3" fillId="4" fontId="4" numFmtId="0" xfId="0" applyAlignment="1" applyBorder="1" applyFont="1">
      <alignment horizontal="center" vertical="center"/>
    </xf>
    <xf borderId="3" fillId="0" fontId="5" numFmtId="0" xfId="0" applyAlignment="1" applyBorder="1" applyFont="1">
      <alignment readingOrder="0"/>
    </xf>
    <xf borderId="3" fillId="0" fontId="5" numFmtId="0" xfId="0" applyBorder="1" applyFont="1"/>
    <xf borderId="6" fillId="5" fontId="3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3" fillId="5" fontId="5" numFmtId="0" xfId="0" applyBorder="1" applyFont="1"/>
    <xf borderId="6" fillId="6" fontId="5" numFmtId="0" xfId="0" applyAlignment="1" applyBorder="1" applyFill="1" applyFont="1">
      <alignment horizontal="center" readingOrder="0" vertical="center"/>
    </xf>
    <xf borderId="3" fillId="6" fontId="3" numFmtId="4" xfId="0" applyBorder="1" applyFont="1" applyNumberFormat="1"/>
    <xf borderId="6" fillId="7" fontId="3" numFmtId="0" xfId="0" applyAlignment="1" applyBorder="1" applyFill="1" applyFont="1">
      <alignment horizontal="center" readingOrder="0" vertical="center"/>
    </xf>
    <xf borderId="3" fillId="7" fontId="3" numFmtId="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22.38"/>
    <col customWidth="1" min="3" max="3" width="15.0"/>
    <col customWidth="1" min="4" max="4" width="13.25"/>
    <col customWidth="1" min="5" max="5" width="17.5"/>
    <col customWidth="1" min="6" max="6" width="8.75"/>
    <col customWidth="1" min="7" max="26" width="14.38"/>
  </cols>
  <sheetData>
    <row r="1" ht="39.75" customHeight="1">
      <c r="A1" s="1" t="s">
        <v>0</v>
      </c>
      <c r="B1" s="2"/>
      <c r="C1" s="2"/>
      <c r="D1" s="2"/>
      <c r="E1" s="2"/>
    </row>
    <row r="3">
      <c r="A3" s="3" t="s">
        <v>1</v>
      </c>
    </row>
    <row r="4" ht="24.7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ht="19.5" customHeight="1">
      <c r="A5" s="5" t="s">
        <v>7</v>
      </c>
      <c r="B5" s="6" t="s">
        <v>8</v>
      </c>
      <c r="C5" s="7" t="s">
        <v>7</v>
      </c>
      <c r="D5" s="7">
        <v>0.0</v>
      </c>
      <c r="E5" s="8">
        <v>908658.0</v>
      </c>
    </row>
    <row r="6" ht="19.5" customHeight="1">
      <c r="A6" s="5" t="s">
        <v>7</v>
      </c>
      <c r="B6" s="9" t="s">
        <v>9</v>
      </c>
      <c r="C6" s="7" t="s">
        <v>7</v>
      </c>
      <c r="D6" s="10">
        <v>0.0</v>
      </c>
      <c r="E6" s="8">
        <v>297182.0</v>
      </c>
    </row>
    <row r="7" ht="19.5" customHeight="1">
      <c r="A7" s="11" t="s">
        <v>7</v>
      </c>
      <c r="B7" s="12" t="s">
        <v>10</v>
      </c>
      <c r="C7" s="8">
        <v>48706.15</v>
      </c>
      <c r="D7" s="8">
        <v>6.5</v>
      </c>
      <c r="E7" s="13">
        <f t="shared" ref="E7:E8" si="1">C7*D7</f>
        <v>316589.975</v>
      </c>
    </row>
    <row r="8" ht="19.5" customHeight="1">
      <c r="A8" s="11" t="s">
        <v>7</v>
      </c>
      <c r="B8" s="12" t="s">
        <v>11</v>
      </c>
      <c r="C8" s="8">
        <v>34856.59</v>
      </c>
      <c r="D8" s="8">
        <v>6.5</v>
      </c>
      <c r="E8" s="13">
        <f t="shared" si="1"/>
        <v>226567.835</v>
      </c>
    </row>
    <row r="9" ht="19.5" customHeight="1">
      <c r="A9" s="14" t="s">
        <v>7</v>
      </c>
      <c r="B9" s="15" t="s">
        <v>12</v>
      </c>
      <c r="C9" s="16"/>
      <c r="D9" s="16"/>
      <c r="E9" s="16">
        <v>76000.0</v>
      </c>
    </row>
    <row r="10" ht="19.5" customHeight="1">
      <c r="A10" s="14"/>
      <c r="B10" s="17" t="s">
        <v>13</v>
      </c>
      <c r="D10" s="16"/>
      <c r="E10" s="16">
        <v>54735.0</v>
      </c>
    </row>
    <row r="11" ht="21.75" customHeight="1">
      <c r="A11" s="18"/>
      <c r="B11" s="19" t="s">
        <v>14</v>
      </c>
      <c r="C11" s="18"/>
      <c r="D11" s="18"/>
      <c r="E11" s="20">
        <f>SUM(E5:E10)</f>
        <v>1879732.81</v>
      </c>
    </row>
    <row r="13">
      <c r="A13" s="3" t="s">
        <v>15</v>
      </c>
    </row>
    <row r="14" ht="24.75" customHeight="1">
      <c r="A14" s="21" t="s">
        <v>2</v>
      </c>
      <c r="B14" s="21" t="s">
        <v>16</v>
      </c>
      <c r="C14" s="21" t="s">
        <v>4</v>
      </c>
      <c r="D14" s="21" t="s">
        <v>17</v>
      </c>
      <c r="E14" s="22" t="s">
        <v>18</v>
      </c>
    </row>
    <row r="15" ht="19.5" customHeight="1">
      <c r="A15" s="5" t="s">
        <v>7</v>
      </c>
      <c r="B15" s="6" t="s">
        <v>19</v>
      </c>
      <c r="C15" s="5" t="s">
        <v>7</v>
      </c>
      <c r="D15" s="5" t="s">
        <v>7</v>
      </c>
      <c r="E15" s="8">
        <v>18792.4</v>
      </c>
    </row>
    <row r="16" ht="19.5" customHeight="1">
      <c r="A16" s="5" t="s">
        <v>7</v>
      </c>
      <c r="B16" s="6" t="s">
        <v>20</v>
      </c>
      <c r="C16" s="5" t="s">
        <v>7</v>
      </c>
      <c r="D16" s="5" t="s">
        <v>7</v>
      </c>
      <c r="E16" s="8">
        <v>3538.26</v>
      </c>
    </row>
    <row r="17" ht="19.5" customHeight="1">
      <c r="A17" s="11"/>
      <c r="B17" s="6" t="s">
        <v>21</v>
      </c>
      <c r="C17" s="23">
        <v>104000.0</v>
      </c>
      <c r="D17" s="24"/>
      <c r="E17" s="13">
        <f t="shared" ref="E17:E18" si="2">C17</f>
        <v>104000</v>
      </c>
    </row>
    <row r="18" ht="19.5" customHeight="1">
      <c r="A18" s="11"/>
      <c r="B18" s="12" t="s">
        <v>22</v>
      </c>
      <c r="C18" s="23">
        <v>34836.0</v>
      </c>
      <c r="D18" s="24"/>
      <c r="E18" s="13">
        <f t="shared" si="2"/>
        <v>34836</v>
      </c>
    </row>
    <row r="19" ht="19.5" customHeight="1">
      <c r="A19" s="11"/>
      <c r="B19" s="12" t="s">
        <v>23</v>
      </c>
      <c r="C19" s="23">
        <v>150000.0</v>
      </c>
      <c r="D19" s="24"/>
      <c r="E19" s="13"/>
    </row>
    <row r="20" ht="19.5" customHeight="1">
      <c r="A20" s="11"/>
      <c r="B20" s="12" t="s">
        <v>24</v>
      </c>
      <c r="C20" s="23">
        <v>137500.0</v>
      </c>
      <c r="D20" s="24"/>
      <c r="E20" s="13"/>
    </row>
    <row r="21" ht="19.5" customHeight="1">
      <c r="A21" s="11"/>
      <c r="B21" s="12" t="s">
        <v>25</v>
      </c>
      <c r="C21" s="23">
        <v>9530.0</v>
      </c>
      <c r="D21" s="24"/>
      <c r="E21" s="13"/>
    </row>
    <row r="22" ht="19.5" customHeight="1">
      <c r="A22" s="11"/>
      <c r="B22" s="12" t="s">
        <v>26</v>
      </c>
      <c r="C22" s="23">
        <v>126795.0</v>
      </c>
      <c r="D22" s="24"/>
      <c r="E22" s="13">
        <f>C22</f>
        <v>126795</v>
      </c>
    </row>
    <row r="23" ht="21.75" customHeight="1">
      <c r="A23" s="18"/>
      <c r="B23" s="19" t="s">
        <v>27</v>
      </c>
      <c r="C23" s="18"/>
      <c r="D23" s="18"/>
      <c r="E23" s="20">
        <f>SUM(E15:E22)</f>
        <v>287961.66</v>
      </c>
    </row>
    <row r="24" ht="15.75" customHeight="1"/>
    <row r="25" ht="15.75" customHeight="1">
      <c r="B25" s="25" t="s">
        <v>28</v>
      </c>
      <c r="C25" s="26"/>
      <c r="D25" s="27"/>
      <c r="E25" s="28"/>
    </row>
    <row r="26" ht="15.75" customHeight="1">
      <c r="B26" s="29" t="s">
        <v>14</v>
      </c>
      <c r="C26" s="26"/>
      <c r="D26" s="27"/>
      <c r="E26" s="30">
        <f>E11</f>
        <v>1879732.81</v>
      </c>
    </row>
    <row r="27" ht="15.75" customHeight="1">
      <c r="B27" s="29" t="s">
        <v>27</v>
      </c>
      <c r="C27" s="26"/>
      <c r="D27" s="27"/>
      <c r="E27" s="30">
        <f>E23</f>
        <v>287961.66</v>
      </c>
    </row>
    <row r="28" ht="15.75" customHeight="1">
      <c r="B28" s="31" t="s">
        <v>29</v>
      </c>
      <c r="C28" s="26"/>
      <c r="D28" s="27"/>
      <c r="E28" s="32">
        <f>Sum(E26-E27)</f>
        <v>1591771.15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3:E3"/>
    <mergeCell ref="B10:C10"/>
    <mergeCell ref="A13:E13"/>
    <mergeCell ref="B25:D25"/>
    <mergeCell ref="B26:D26"/>
    <mergeCell ref="B27:D27"/>
    <mergeCell ref="B28:D2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2026-07-05T19:17:43Z</dcterms:created>
  <dc:creator>openpyxl</dc:creator>
</cp:coreProperties>
</file>